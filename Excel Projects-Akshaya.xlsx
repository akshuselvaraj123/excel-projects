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externalLinks/externalLink1.xml" ContentType="application/vnd.openxmlformats-officedocument.spreadsheetml.externalLink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Cache/pivotCacheDefinition2.xml" ContentType="application/vnd.openxmlformats-officedocument.spreadsheetml.pivotCacheDefinition+xml"/>
  <Override PartName="/xl/pivotCache/pivotCacheRecords2.xml" ContentType="application/vnd.openxmlformats-officedocument.spreadsheetml.pivotCacheRecords+xml"/>
  <Override PartName="/xl/pivotCache/pivotCacheDefinition3.xml" ContentType="application/vnd.openxmlformats-officedocument.spreadsheetml.pivotCacheDefinition+xml"/>
  <Override PartName="/xl/pivotCache/pivotCacheRecords3.xml" ContentType="application/vnd.openxmlformats-officedocument.spreadsheetml.pivotCacheRecords+xml"/>
  <Override PartName="/xl/slicerCaches/slicerCache1.xml" ContentType="application/vnd.ms-excel.slicerCache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pivotTables/pivotTable1.xml" ContentType="application/vnd.openxmlformats-officedocument.spreadsheetml.pivotTable+xml"/>
  <Override PartName="/xl/drawings/drawing1.xml" ContentType="application/vnd.openxmlformats-officedocument.drawing+xml"/>
  <Override PartName="/xl/slicers/slicer1.xml" ContentType="application/vnd.ms-excel.slicer+xml"/>
  <Override PartName="/xl/drawings/drawing2.xml" ContentType="application/vnd.openxmlformats-officedocument.drawing+xml"/>
  <Override PartName="/xl/charts/chartEx1.xml" ContentType="application/vnd.ms-office.chartex+xml"/>
  <Override PartName="/xl/charts/style1.xml" ContentType="application/vnd.ms-office.chartstyle+xml"/>
  <Override PartName="/xl/charts/colors1.xml" ContentType="application/vnd.ms-office.chartcolorsty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05"/>
  <workbookPr hidePivotFieldList="1" defaultThemeVersion="166925"/>
  <mc:AlternateContent xmlns:mc="http://schemas.openxmlformats.org/markup-compatibility/2006">
    <mc:Choice Requires="x15">
      <x15ac:absPath xmlns:x15ac="http://schemas.microsoft.com/office/spreadsheetml/2010/11/ac" url="https://smartpa.sharepoint.com/coe/Shared Documents/Business Support/Client Files/Pod Star Client Files/Career Principles/Dowload links/Excel sheets/"/>
    </mc:Choice>
  </mc:AlternateContent>
  <xr:revisionPtr revIDLastSave="0" documentId="8_{9BF62600-01AF-400C-865F-450656C9E235}" xr6:coauthVersionLast="47" xr6:coauthVersionMax="47" xr10:uidLastSave="{00000000-0000-0000-0000-000000000000}"/>
  <bookViews>
    <workbookView xWindow="-28920" yWindow="-120" windowWidth="29040" windowHeight="15720" firstSheet="5" activeTab="14" xr2:uid="{BF2E566C-C60B-4A43-8572-FA5FEC60B12C}"/>
  </bookViews>
  <sheets>
    <sheet name="Q1" sheetId="6" r:id="rId1"/>
    <sheet name="Q2" sheetId="8" r:id="rId2"/>
    <sheet name="Q3" sheetId="7" r:id="rId3"/>
    <sheet name="Q4" sheetId="9" r:id="rId4"/>
    <sheet name="Q5" sheetId="10" r:id="rId5"/>
    <sheet name="Q6" sheetId="11" r:id="rId6"/>
    <sheet name="Q7" sheetId="13" r:id="rId7"/>
    <sheet name="Q8" sheetId="15" r:id="rId8"/>
    <sheet name="Q9" sheetId="17" r:id="rId9"/>
    <sheet name="Q10" sheetId="19" r:id="rId10"/>
    <sheet name="Q11" sheetId="21" r:id="rId11"/>
    <sheet name="Q12" sheetId="25" r:id="rId12"/>
    <sheet name="Q13" sheetId="27" r:id="rId13"/>
    <sheet name="Q15" sheetId="31" r:id="rId14"/>
    <sheet name="Q16" sheetId="35" r:id="rId15"/>
  </sheets>
  <externalReferences>
    <externalReference r:id="rId16"/>
  </externalReferences>
  <definedNames>
    <definedName name="_xlchart.v1.0" hidden="1">[1]Q7!$C$6:$C$33</definedName>
    <definedName name="Slicer_Product">#N/A</definedName>
  </definedNames>
  <calcPr calcId="191028"/>
  <pivotCaches>
    <pivotCache cacheId="4927" r:id="rId17"/>
    <pivotCache cacheId="5301" r:id="rId18"/>
    <pivotCache cacheId="5312" r:id="rId19"/>
  </pivotCaches>
  <extLst>
    <ext xmlns:x14="http://schemas.microsoft.com/office/spreadsheetml/2009/9/main" uri="{BBE1A952-AA13-448e-AADC-164F8A28A991}">
      <x14:slicerCaches>
        <x14:slicerCache r:id="rId20"/>
      </x14:slicerCaches>
    </ext>
    <ext xmlns:x14="http://schemas.microsoft.com/office/spreadsheetml/2009/9/main" uri="{79F54976-1DA5-4618-B147-4CDE4B953A38}">
      <x14:workbookPr/>
    </ex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10" i="35" l="1"/>
  <c r="D15" i="21"/>
  <c r="D14" i="21"/>
  <c r="D13" i="21"/>
  <c r="D12" i="21"/>
  <c r="D11" i="21"/>
  <c r="D10" i="21"/>
  <c r="D9" i="21"/>
  <c r="D8" i="21"/>
  <c r="D7" i="21"/>
  <c r="D6" i="21"/>
  <c r="G10" i="19"/>
  <c r="F10" i="19"/>
  <c r="E10" i="19"/>
  <c r="D10" i="19"/>
  <c r="G9" i="19"/>
  <c r="F9" i="19"/>
  <c r="E9" i="19"/>
  <c r="D9" i="19"/>
  <c r="G8" i="19"/>
  <c r="F8" i="19"/>
  <c r="E8" i="19"/>
  <c r="D8" i="19"/>
  <c r="G7" i="19"/>
  <c r="F7" i="19"/>
  <c r="E7" i="19"/>
  <c r="D7" i="19"/>
  <c r="C15" i="17"/>
  <c r="C14" i="17"/>
  <c r="C13" i="17"/>
  <c r="C12" i="17"/>
  <c r="C11" i="17"/>
  <c r="C10" i="17"/>
  <c r="C9" i="17"/>
  <c r="C8" i="17"/>
  <c r="C7" i="17"/>
  <c r="C6" i="17"/>
  <c r="H6" i="15" a="1"/>
  <c r="H6" i="15" s="1"/>
  <c r="F6" i="13"/>
  <c r="D7" i="11"/>
  <c r="D8" i="11"/>
  <c r="D9" i="11"/>
  <c r="D10" i="11"/>
  <c r="D11" i="11"/>
  <c r="D12" i="11"/>
  <c r="D13" i="11"/>
  <c r="D14" i="11"/>
  <c r="D15" i="11"/>
  <c r="D16" i="11"/>
  <c r="D6" i="11"/>
  <c r="F11" i="10"/>
  <c r="F7" i="10"/>
  <c r="E7" i="7" a="1"/>
  <c r="E7" i="7"/>
  <c r="E8" i="7" a="1"/>
  <c r="E8" i="7"/>
  <c r="E9" i="7" a="1"/>
  <c r="E9" i="7"/>
  <c r="E10" i="7" a="1"/>
  <c r="E10" i="7"/>
  <c r="E11" i="7" a="1"/>
  <c r="E11" i="7"/>
  <c r="E12" i="7" a="1"/>
  <c r="E12" i="7"/>
  <c r="E13" i="7" a="1"/>
  <c r="E13" i="7"/>
  <c r="E14" i="7" a="1"/>
  <c r="E14" i="7"/>
  <c r="E15" i="7" a="1"/>
  <c r="E15" i="7"/>
  <c r="E16" i="7" a="1"/>
  <c r="E16" i="7"/>
  <c r="E17" i="7" a="1"/>
  <c r="E17" i="7"/>
  <c r="E18" i="7" a="1"/>
  <c r="E18" i="7"/>
  <c r="E19" i="7" a="1"/>
  <c r="E19" i="7"/>
  <c r="E20" i="7" a="1"/>
  <c r="E20" i="7"/>
  <c r="E21" i="7" a="1"/>
  <c r="E21" i="7"/>
  <c r="E22" i="7" a="1"/>
  <c r="E22" i="7"/>
  <c r="E6" i="7" a="1"/>
  <c r="E6" i="7"/>
  <c r="E8" i="8"/>
  <c r="E9" i="8"/>
  <c r="E10" i="8"/>
  <c r="E11" i="8"/>
  <c r="E12" i="8"/>
  <c r="E13" i="8"/>
  <c r="E14" i="8"/>
  <c r="E15" i="8"/>
  <c r="E16" i="8"/>
  <c r="E17" i="8"/>
  <c r="E7" i="8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<sst xmlns="http://schemas.openxmlformats.org/spreadsheetml/2006/main" count="569" uniqueCount="274">
  <si>
    <t>Conditional Formatting</t>
  </si>
  <si>
    <t>Question 1</t>
  </si>
  <si>
    <t>Create a condition to highlight revenue above 50k in green, and below and including 50k in red.</t>
  </si>
  <si>
    <t>Name</t>
  </si>
  <si>
    <t>Department</t>
  </si>
  <si>
    <t>Revenue</t>
  </si>
  <si>
    <t>Bill</t>
  </si>
  <si>
    <t>Marketing</t>
  </si>
  <si>
    <t>Mike</t>
  </si>
  <si>
    <t>Sales</t>
  </si>
  <si>
    <t>Sarah</t>
  </si>
  <si>
    <t>Jane</t>
  </si>
  <si>
    <t>Andrew</t>
  </si>
  <si>
    <t>Design</t>
  </si>
  <si>
    <t>Jenny</t>
  </si>
  <si>
    <t>Jeff</t>
  </si>
  <si>
    <t>Tech</t>
  </si>
  <si>
    <t>Tom</t>
  </si>
  <si>
    <t>Lana</t>
  </si>
  <si>
    <t>Jack</t>
  </si>
  <si>
    <t>Mila</t>
  </si>
  <si>
    <t>If function</t>
  </si>
  <si>
    <t>Question 2</t>
  </si>
  <si>
    <t>Employees with revenue over 50k should receive a bonus of 5% of revenue.</t>
  </si>
  <si>
    <t>Calculate the bonus amount in the yellow area. If not over 50k, leave blank.</t>
  </si>
  <si>
    <t>Employee</t>
  </si>
  <si>
    <t>Bonus</t>
  </si>
  <si>
    <t>Min. Revenue</t>
  </si>
  <si>
    <t>Bonus %</t>
  </si>
  <si>
    <t>TEXTSPLIT function</t>
  </si>
  <si>
    <t>Question 3</t>
  </si>
  <si>
    <t>Separate the department &amp; region column into 2 separate columns in the yellow area.</t>
  </si>
  <si>
    <t xml:space="preserve">2 ways </t>
  </si>
  <si>
    <t>1. use text to columns option in data tab</t>
  </si>
  <si>
    <t>Contact</t>
  </si>
  <si>
    <t>Department &amp; Region</t>
  </si>
  <si>
    <t>Region</t>
  </si>
  <si>
    <t>2. use 'textsplit' function</t>
  </si>
  <si>
    <t>Bill Smith</t>
  </si>
  <si>
    <t>Cloud Tech_Texas</t>
  </si>
  <si>
    <t>Ken Singh</t>
  </si>
  <si>
    <t>Strategy_New York</t>
  </si>
  <si>
    <t>Harley Fritz</t>
  </si>
  <si>
    <t>Nyla Novak</t>
  </si>
  <si>
    <t>Operations_Florida</t>
  </si>
  <si>
    <t>David Rasmussen</t>
  </si>
  <si>
    <t>Ivan Hiney</t>
  </si>
  <si>
    <t>Jonha Ma</t>
  </si>
  <si>
    <t>Jordan Boone</t>
  </si>
  <si>
    <t>Finance_Chicago</t>
  </si>
  <si>
    <t>Kylee Townsend</t>
  </si>
  <si>
    <t>Nora Rollins</t>
  </si>
  <si>
    <t>Finance_Texas</t>
  </si>
  <si>
    <t>Brendan Wallace</t>
  </si>
  <si>
    <t>Conor Wise</t>
  </si>
  <si>
    <t>Steven Michael</t>
  </si>
  <si>
    <t>Big Data_California</t>
  </si>
  <si>
    <t>Lucia Mckay</t>
  </si>
  <si>
    <t>Jose Roach</t>
  </si>
  <si>
    <t>Franklin Wrigt</t>
  </si>
  <si>
    <t>Alia Thornton</t>
  </si>
  <si>
    <t>Pivot table</t>
  </si>
  <si>
    <t>Slicers</t>
  </si>
  <si>
    <t>Question 4</t>
  </si>
  <si>
    <t>Use a pivot table to find the total revenue by product and average profit by product.</t>
  </si>
  <si>
    <t>ID Number</t>
  </si>
  <si>
    <t>Product</t>
  </si>
  <si>
    <t>Profit</t>
  </si>
  <si>
    <t>Apples</t>
  </si>
  <si>
    <t>Sum of Revenue</t>
  </si>
  <si>
    <t>Average of Profit</t>
  </si>
  <si>
    <t>Lemons</t>
  </si>
  <si>
    <t>Bananas</t>
  </si>
  <si>
    <t>Oranges</t>
  </si>
  <si>
    <t>Grapes</t>
  </si>
  <si>
    <t>Peaches</t>
  </si>
  <si>
    <t>Grand Total</t>
  </si>
  <si>
    <t>Xlookup function</t>
  </si>
  <si>
    <t>Question 5</t>
  </si>
  <si>
    <t>Use 2 different formulas to find Sarah's Revenue.</t>
  </si>
  <si>
    <t>Formula #1</t>
  </si>
  <si>
    <t>Formula #2</t>
  </si>
  <si>
    <t>Replace</t>
  </si>
  <si>
    <t>Bonus Question</t>
  </si>
  <si>
    <t>Remove the parentheses and everything inside of it for each client.</t>
  </si>
  <si>
    <t>Use two options</t>
  </si>
  <si>
    <t>1. Ctrl +H --&gt; Replace (or) In home tab select find and replace . In the find text to find all the things inside (), put (*)</t>
  </si>
  <si>
    <t>2. Use textbefore function</t>
  </si>
  <si>
    <t>Client</t>
  </si>
  <si>
    <t>AMAZON.COM, INC. (XNAS:AMZN)</t>
  </si>
  <si>
    <t>TESLA, INC. (XNAS:TSLA)</t>
  </si>
  <si>
    <t>NETFLIX, INC. (XNAS:NFLX)</t>
  </si>
  <si>
    <t>THE PROCTER &amp; GAMBLE COMPANY (XNYS:PG)</t>
  </si>
  <si>
    <t>THE GOLDMAN SACHS GROUP, INC. (XNYS:GS)</t>
  </si>
  <si>
    <t>JPMORGAN CHASE &amp; CO. (XNYS:JPM)</t>
  </si>
  <si>
    <t>MORGAN STANLEY (XNYS:MS)</t>
  </si>
  <si>
    <t>CITIGROUP INC. (XNYS:C)</t>
  </si>
  <si>
    <t>BANK OF AMERICA CORPORATION (XNYS:BAC)</t>
  </si>
  <si>
    <t>WALMART INC. (XNYS:WMT)</t>
  </si>
  <si>
    <t>TARGET CORPORATION (XNYS:TGT)</t>
  </si>
  <si>
    <t>Countif</t>
  </si>
  <si>
    <t>Count the number of sales transactions above 10,000</t>
  </si>
  <si>
    <t>Division</t>
  </si>
  <si>
    <t>Answer</t>
  </si>
  <si>
    <t>Amanda Liu</t>
  </si>
  <si>
    <t>Brian O'Connor</t>
  </si>
  <si>
    <t>Clothing</t>
  </si>
  <si>
    <t>Carla Mendes</t>
  </si>
  <si>
    <t>David Zhang</t>
  </si>
  <si>
    <t>Eva Anders</t>
  </si>
  <si>
    <t>Felix Tan</t>
  </si>
  <si>
    <t>Grace Lin</t>
  </si>
  <si>
    <t>Jack Nguyen</t>
  </si>
  <si>
    <t>Karla Ruiz</t>
  </si>
  <si>
    <t>Leo Park</t>
  </si>
  <si>
    <t>Maria Hassan</t>
  </si>
  <si>
    <t>Nathan Brooks</t>
  </si>
  <si>
    <t>Olivia Kim</t>
  </si>
  <si>
    <t>Paul Silva</t>
  </si>
  <si>
    <t>Books</t>
  </si>
  <si>
    <t>Queenie Tran</t>
  </si>
  <si>
    <t>Raymond Scott</t>
  </si>
  <si>
    <t>Sophie Lee</t>
  </si>
  <si>
    <t>FILTER</t>
  </si>
  <si>
    <t xml:space="preserve">Find the people in the Technology industry from this list. </t>
  </si>
  <si>
    <t>Rank</t>
  </si>
  <si>
    <t>Person Name</t>
  </si>
  <si>
    <t>Category</t>
  </si>
  <si>
    <t>Country</t>
  </si>
  <si>
    <t>Finalworth</t>
  </si>
  <si>
    <t>Bernard Arnault</t>
  </si>
  <si>
    <t>Fashion &amp; Retail</t>
  </si>
  <si>
    <t>France</t>
  </si>
  <si>
    <t>Elon Musk</t>
  </si>
  <si>
    <t>Automotive</t>
  </si>
  <si>
    <t>United States</t>
  </si>
  <si>
    <t>Jeff Bezos</t>
  </si>
  <si>
    <t>Technology</t>
  </si>
  <si>
    <t>Larry Ellison</t>
  </si>
  <si>
    <t>Warren Buffett</t>
  </si>
  <si>
    <t>Finance</t>
  </si>
  <si>
    <t>Bill Gates</t>
  </si>
  <si>
    <t>Michael Bloomberg</t>
  </si>
  <si>
    <t>Media</t>
  </si>
  <si>
    <t>Carlos Slim</t>
  </si>
  <si>
    <t>Telecom</t>
  </si>
  <si>
    <t>Mexico</t>
  </si>
  <si>
    <t>Mukesh Ambani</t>
  </si>
  <si>
    <t>Diversified</t>
  </si>
  <si>
    <t>India</t>
  </si>
  <si>
    <t>Steve Ballmer</t>
  </si>
  <si>
    <t>Francoise Bettencourt</t>
  </si>
  <si>
    <t>Larry Page</t>
  </si>
  <si>
    <t>Amancio Ortega</t>
  </si>
  <si>
    <t>Spain</t>
  </si>
  <si>
    <t>Sergey Brin</t>
  </si>
  <si>
    <t>Zhong Shanshan</t>
  </si>
  <si>
    <t>Food &amp; Beverage</t>
  </si>
  <si>
    <t>China</t>
  </si>
  <si>
    <t>Mark Zuckerberg</t>
  </si>
  <si>
    <t>Charles Koch</t>
  </si>
  <si>
    <t>Julia Koch</t>
  </si>
  <si>
    <t>Jim Walton</t>
  </si>
  <si>
    <t>Rob Walton</t>
  </si>
  <si>
    <t>Alice Walton</t>
  </si>
  <si>
    <t>David Thomson</t>
  </si>
  <si>
    <t>Canada</t>
  </si>
  <si>
    <t>Michael Dell</t>
  </si>
  <si>
    <t>Gautam Adani</t>
  </si>
  <si>
    <t>Phil Knight</t>
  </si>
  <si>
    <t>TEXTBEFORE &amp; TEXTAFTER</t>
  </si>
  <si>
    <t>Write a formula to extract the date from the invoice column</t>
  </si>
  <si>
    <t>Invoice</t>
  </si>
  <si>
    <t>Date</t>
  </si>
  <si>
    <t>We can use flass fill, but when values change, flash filled values will not change</t>
  </si>
  <si>
    <t>INV-001 Date: 2025-01-15 Paid</t>
  </si>
  <si>
    <t>INV-002 Date: 2025-02-07 Paid</t>
  </si>
  <si>
    <t>0/07/2025</t>
  </si>
  <si>
    <t>INV-003 Date: 2025-03-21 Paid</t>
  </si>
  <si>
    <t>INV-004 Date: 2024-11-30 Paid</t>
  </si>
  <si>
    <t>INV-005 Date: 2024-12-12 Paid</t>
  </si>
  <si>
    <t>INV-006 Date: 2023-05-09 Paid</t>
  </si>
  <si>
    <t>0/09/2023</t>
  </si>
  <si>
    <t>INV-007 Date: 2023-08-25 Paid</t>
  </si>
  <si>
    <t>INV-008 Date: 2022-06-14 Paid</t>
  </si>
  <si>
    <t>INV-009 Date: 2021-09-03 Paid</t>
  </si>
  <si>
    <t>0/03/2021</t>
  </si>
  <si>
    <t>INV-010 Date: 2021-10-29 Paid</t>
  </si>
  <si>
    <t>2/29/2021</t>
  </si>
  <si>
    <t>Relative, absolute, and mixed references</t>
  </si>
  <si>
    <t>What's the difference between relative, absolute, and mixed references?</t>
  </si>
  <si>
    <t>Price</t>
  </si>
  <si>
    <t>Quantity</t>
  </si>
  <si>
    <t>LEFT FUNCTION</t>
  </si>
  <si>
    <t>Write a formula to return each person's initials (ex: Jon Lee = JL)</t>
  </si>
  <si>
    <t>First Name</t>
  </si>
  <si>
    <t>Last Name</t>
  </si>
  <si>
    <t>Anna</t>
  </si>
  <si>
    <t>Carter</t>
  </si>
  <si>
    <t>"=copilot("extract the initials from the firstname and last name, B6:C15")"</t>
  </si>
  <si>
    <t>James</t>
  </si>
  <si>
    <t>Wong</t>
  </si>
  <si>
    <t>Maria</t>
  </si>
  <si>
    <t>Lopez</t>
  </si>
  <si>
    <t>David</t>
  </si>
  <si>
    <t>Smith</t>
  </si>
  <si>
    <t>Sophie</t>
  </si>
  <si>
    <t>Patel</t>
  </si>
  <si>
    <t>Lucas</t>
  </si>
  <si>
    <t>Brown</t>
  </si>
  <si>
    <t>Emma</t>
  </si>
  <si>
    <t>Johnson</t>
  </si>
  <si>
    <t>Daniel</t>
  </si>
  <si>
    <t>Kim</t>
  </si>
  <si>
    <t>Olivia</t>
  </si>
  <si>
    <t>Garcia</t>
  </si>
  <si>
    <t>Ethan</t>
  </si>
  <si>
    <t>Wilson</t>
  </si>
  <si>
    <t>Finding Outliers</t>
  </si>
  <si>
    <t>Question 7</t>
  </si>
  <si>
    <t>How do you check for outliers in a dataset?</t>
  </si>
  <si>
    <t>Use box and whisker chart</t>
  </si>
  <si>
    <t>2025-08-01</t>
  </si>
  <si>
    <t>2025-08-02</t>
  </si>
  <si>
    <t>2025-08-03</t>
  </si>
  <si>
    <t>2025-08-04</t>
  </si>
  <si>
    <t>2025-08-05</t>
  </si>
  <si>
    <t>2025-08-06</t>
  </si>
  <si>
    <t>2025-08-07</t>
  </si>
  <si>
    <t>2025-08-08</t>
  </si>
  <si>
    <t>2025-08-09</t>
  </si>
  <si>
    <t>2025-08-10</t>
  </si>
  <si>
    <t>2025-08-11</t>
  </si>
  <si>
    <t>2025-08-12</t>
  </si>
  <si>
    <t>2025-08-13</t>
  </si>
  <si>
    <t>2025-08-14</t>
  </si>
  <si>
    <t>2025-08-15</t>
  </si>
  <si>
    <t>2025-08-16</t>
  </si>
  <si>
    <t>2025-08-17</t>
  </si>
  <si>
    <t>2025-08-18</t>
  </si>
  <si>
    <t>12400, 11200 and 900 are the outliers, since they don't fall in the range around 3900 and 4900</t>
  </si>
  <si>
    <t>2025-08-19</t>
  </si>
  <si>
    <t>2025-08-20</t>
  </si>
  <si>
    <t>2025-08-21</t>
  </si>
  <si>
    <t>2025-08-22</t>
  </si>
  <si>
    <t>2025-08-23</t>
  </si>
  <si>
    <t>2025-08-24</t>
  </si>
  <si>
    <t>2025-08-25</t>
  </si>
  <si>
    <t>2025-08-26</t>
  </si>
  <si>
    <t>2025-08-27</t>
  </si>
  <si>
    <t>2025-08-28</t>
  </si>
  <si>
    <t xml:space="preserve">Pivot table </t>
  </si>
  <si>
    <t>Question 8</t>
  </si>
  <si>
    <t>Use a pivot table to calculate the percentage of sales by method</t>
  </si>
  <si>
    <t>ID</t>
  </si>
  <si>
    <t>Method</t>
  </si>
  <si>
    <t>Expenses</t>
  </si>
  <si>
    <t>Sum of Sales</t>
  </si>
  <si>
    <t>iphone</t>
  </si>
  <si>
    <t>In-store</t>
  </si>
  <si>
    <t>Third Party</t>
  </si>
  <si>
    <t>Online Store</t>
  </si>
  <si>
    <t>macbook</t>
  </si>
  <si>
    <t>Referral</t>
  </si>
  <si>
    <t>ipad</t>
  </si>
  <si>
    <t>iwatch</t>
  </si>
  <si>
    <t>airpod</t>
  </si>
  <si>
    <t>Question 9</t>
  </si>
  <si>
    <t>Use a pivot table to calculate which product has the highest variability in sales amount</t>
  </si>
  <si>
    <t>StdDev of Sales</t>
  </si>
  <si>
    <t>Index and Match</t>
  </si>
  <si>
    <t>Question 10</t>
  </si>
  <si>
    <t>Find Jeff's Revenue in 2025. Make sure the solution is dynamic.</t>
  </si>
  <si>
    <t>Criteria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</si>
</sst>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6" formatCode="&quot;$&quot;#,##0_);[Red]\(&quot;$&quot;#,##0\)"/>
    <numFmt numFmtId="43" formatCode="_(* #,##0.00_);_(* \(#,##0.00\);_(* &quot;-&quot;??_);_(@_)"/>
    <numFmt numFmtId="164" formatCode="dd/mm/yy"/>
    <numFmt numFmtId="165" formatCode="_-* #,##0_-;\-* #,##0_-;_-* &quot;-&quot;??_-;_-@_-"/>
    <numFmt numFmtId="166" formatCode="0_ ;\-0\ "/>
  </numFmts>
  <fonts count="19">
    <font>
      <sz val="12"/>
      <color theme="1"/>
      <name val="Calibri"/>
      <family val="2"/>
      <scheme val="minor"/>
    </font>
    <font>
      <b/>
      <sz val="12"/>
      <color theme="0"/>
      <name val="Calibri"/>
      <family val="2"/>
      <scheme val="minor"/>
    </font>
    <font>
      <b/>
      <sz val="11"/>
      <color theme="0"/>
      <name val="Calibri"/>
      <family val="2"/>
    </font>
    <font>
      <sz val="11"/>
      <color theme="1"/>
      <name val="Calibri"/>
      <family val="2"/>
    </font>
    <font>
      <b/>
      <sz val="12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2"/>
      <color theme="0"/>
      <name val="Aptos Narrow"/>
      <scheme val="minor"/>
    </font>
    <font>
      <sz val="12"/>
      <color theme="0"/>
      <name val="Aptos Narrow"/>
      <scheme val="minor"/>
    </font>
    <font>
      <sz val="12"/>
      <color theme="1"/>
      <name val="Aptos Narrow"/>
      <scheme val="minor"/>
    </font>
    <font>
      <sz val="12"/>
      <color theme="1"/>
      <name val="Aptos Narrow"/>
      <family val="2"/>
      <scheme val="minor"/>
    </font>
    <font>
      <b/>
      <sz val="12"/>
      <color theme="0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i/>
      <sz val="11"/>
      <color theme="1"/>
      <name val="Aptos Narrow"/>
      <family val="2"/>
      <scheme val="minor"/>
    </font>
    <font>
      <sz val="12"/>
      <color theme="0"/>
      <name val="Aptos Narrow"/>
      <family val="2"/>
      <scheme val="minor"/>
    </font>
    <font>
      <b/>
      <sz val="11"/>
      <color rgb="FF242424"/>
      <name val="Aptos Narrow"/>
      <charset val="1"/>
    </font>
  </fonts>
  <fills count="14">
    <fill>
      <patternFill patternType="none"/>
    </fill>
    <fill>
      <patternFill patternType="gray125"/>
    </fill>
    <fill>
      <patternFill patternType="solid">
        <fgColor rgb="FF00B050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rgb="FF00B050"/>
        <bgColor rgb="FF2A3E68"/>
      </patternFill>
    </fill>
    <fill>
      <patternFill patternType="solid">
        <fgColor theme="2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073673"/>
        <bgColor indexed="64"/>
      </patternFill>
    </fill>
    <fill>
      <patternFill patternType="solid">
        <fgColor rgb="FF002060"/>
        <bgColor indexed="64"/>
      </patternFill>
    </fill>
    <fill>
      <patternFill patternType="solid">
        <fgColor theme="3" tint="0.89999084444715716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9" tint="0.79998168889431442"/>
        <bgColor indexed="64"/>
      </patternFill>
    </fill>
  </fills>
  <borders count="4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3">
    <xf numFmtId="0" fontId="0" fillId="0" borderId="0"/>
    <xf numFmtId="43" fontId="7" fillId="0" borderId="0" applyFont="0" applyFill="0" applyBorder="0" applyAlignment="0" applyProtection="0"/>
    <xf numFmtId="0" fontId="11" fillId="0" borderId="0"/>
  </cellStyleXfs>
  <cellXfs count="63">
    <xf numFmtId="0" fontId="0" fillId="0" borderId="0" xfId="0"/>
    <xf numFmtId="0" fontId="0" fillId="0" borderId="0" xfId="0" applyAlignment="1">
      <alignment horizontal="left"/>
    </xf>
    <xf numFmtId="0" fontId="0" fillId="0" borderId="0" xfId="0" applyAlignment="1">
      <alignment horizontal="center"/>
    </xf>
    <xf numFmtId="0" fontId="1" fillId="2" borderId="0" xfId="0" applyFont="1" applyFill="1" applyAlignment="1">
      <alignment horizontal="center"/>
    </xf>
    <xf numFmtId="3" fontId="0" fillId="0" borderId="0" xfId="0" applyNumberFormat="1" applyAlignment="1">
      <alignment horizontal="center"/>
    </xf>
    <xf numFmtId="9" fontId="0" fillId="0" borderId="0" xfId="0" applyNumberFormat="1" applyAlignment="1">
      <alignment horizontal="center"/>
    </xf>
    <xf numFmtId="3" fontId="0" fillId="3" borderId="0" xfId="0" applyNumberFormat="1" applyFill="1" applyAlignment="1">
      <alignment horizontal="center"/>
    </xf>
    <xf numFmtId="0" fontId="0" fillId="3" borderId="0" xfId="0" applyFill="1" applyAlignment="1">
      <alignment horizontal="center"/>
    </xf>
    <xf numFmtId="0" fontId="3" fillId="0" borderId="0" xfId="0" applyFont="1" applyAlignment="1">
      <alignment horizontal="center"/>
    </xf>
    <xf numFmtId="0" fontId="3" fillId="0" borderId="0" xfId="0" applyFont="1" applyAlignment="1">
      <alignment horizontal="left"/>
    </xf>
    <xf numFmtId="6" fontId="3" fillId="0" borderId="0" xfId="0" applyNumberFormat="1" applyFont="1" applyAlignment="1">
      <alignment horizontal="center"/>
    </xf>
    <xf numFmtId="0" fontId="2" fillId="4" borderId="0" xfId="0" applyFont="1" applyFill="1" applyAlignment="1">
      <alignment horizontal="center"/>
    </xf>
    <xf numFmtId="0" fontId="5" fillId="0" borderId="0" xfId="0" applyFont="1" applyAlignment="1">
      <alignment horizontal="left" vertical="center" indent="1"/>
    </xf>
    <xf numFmtId="0" fontId="6" fillId="0" borderId="0" xfId="0" applyFont="1" applyAlignment="1">
      <alignment horizontal="left" vertical="center" indent="1"/>
    </xf>
    <xf numFmtId="0" fontId="4" fillId="5" borderId="0" xfId="0" applyFont="1" applyFill="1"/>
    <xf numFmtId="0" fontId="0" fillId="5" borderId="0" xfId="0" applyFill="1"/>
    <xf numFmtId="0" fontId="1" fillId="6" borderId="0" xfId="0" applyFont="1" applyFill="1" applyAlignment="1">
      <alignment horizontal="center"/>
    </xf>
    <xf numFmtId="0" fontId="0" fillId="0" borderId="0" xfId="0" pivotButton="1"/>
    <xf numFmtId="6" fontId="0" fillId="0" borderId="0" xfId="0" applyNumberFormat="1"/>
    <xf numFmtId="0" fontId="0" fillId="0" borderId="0" xfId="0" applyAlignment="1">
      <alignment wrapText="1"/>
    </xf>
    <xf numFmtId="0" fontId="0" fillId="0" borderId="0" xfId="0" applyAlignment="1">
      <alignment vertical="top"/>
    </xf>
    <xf numFmtId="0" fontId="8" fillId="7" borderId="0" xfId="0" applyFont="1" applyFill="1"/>
    <xf numFmtId="0" fontId="9" fillId="7" borderId="0" xfId="0" applyFont="1" applyFill="1"/>
    <xf numFmtId="0" fontId="10" fillId="0" borderId="0" xfId="0" applyFont="1"/>
    <xf numFmtId="0" fontId="8" fillId="8" borderId="0" xfId="0" applyFont="1" applyFill="1" applyAlignment="1">
      <alignment horizontal="center"/>
    </xf>
    <xf numFmtId="0" fontId="12" fillId="9" borderId="0" xfId="2" applyFont="1" applyFill="1" applyAlignment="1">
      <alignment horizontal="center"/>
    </xf>
    <xf numFmtId="0" fontId="12" fillId="9" borderId="0" xfId="2" applyFont="1" applyFill="1"/>
    <xf numFmtId="0" fontId="11" fillId="0" borderId="0" xfId="2" applyAlignment="1">
      <alignment horizontal="center"/>
    </xf>
    <xf numFmtId="0" fontId="11" fillId="0" borderId="0" xfId="2"/>
    <xf numFmtId="3" fontId="11" fillId="0" borderId="0" xfId="2" applyNumberFormat="1"/>
    <xf numFmtId="0" fontId="0" fillId="10" borderId="0" xfId="0" applyFill="1" applyAlignment="1">
      <alignment wrapText="1"/>
    </xf>
    <xf numFmtId="14" fontId="0" fillId="0" borderId="0" xfId="0" applyNumberFormat="1"/>
    <xf numFmtId="0" fontId="13" fillId="0" borderId="0" xfId="0" applyFont="1"/>
    <xf numFmtId="0" fontId="14" fillId="0" borderId="0" xfId="0" applyFont="1"/>
    <xf numFmtId="0" fontId="15" fillId="8" borderId="0" xfId="0" applyFont="1" applyFill="1" applyAlignment="1">
      <alignment horizontal="center"/>
    </xf>
    <xf numFmtId="0" fontId="13" fillId="0" borderId="0" xfId="0" applyFont="1" applyAlignment="1">
      <alignment horizontal="center"/>
    </xf>
    <xf numFmtId="0" fontId="16" fillId="0" borderId="1" xfId="0" applyFont="1" applyBorder="1" applyAlignment="1">
      <alignment horizontal="center"/>
    </xf>
    <xf numFmtId="0" fontId="16" fillId="0" borderId="2" xfId="0" applyFont="1" applyBorder="1" applyAlignment="1">
      <alignment horizontal="center"/>
    </xf>
    <xf numFmtId="3" fontId="14" fillId="10" borderId="0" xfId="0" applyNumberFormat="1" applyFont="1" applyFill="1"/>
    <xf numFmtId="0" fontId="10" fillId="0" borderId="0" xfId="0" applyFont="1" applyAlignment="1">
      <alignment horizontal="center"/>
    </xf>
    <xf numFmtId="0" fontId="9" fillId="7" borderId="0" xfId="0" applyFont="1" applyFill="1" applyAlignment="1">
      <alignment horizontal="center"/>
    </xf>
    <xf numFmtId="0" fontId="12" fillId="8" borderId="0" xfId="0" applyFont="1" applyFill="1" applyAlignment="1">
      <alignment horizontal="center"/>
    </xf>
    <xf numFmtId="164" fontId="12" fillId="8" borderId="0" xfId="0" applyNumberFormat="1" applyFont="1" applyFill="1" applyAlignment="1">
      <alignment horizontal="center"/>
    </xf>
    <xf numFmtId="14" fontId="0" fillId="0" borderId="0" xfId="0" applyNumberFormat="1" applyAlignment="1">
      <alignment horizontal="center"/>
    </xf>
    <xf numFmtId="1" fontId="0" fillId="0" borderId="0" xfId="0" applyNumberFormat="1" applyAlignment="1">
      <alignment horizontal="center"/>
    </xf>
    <xf numFmtId="165" fontId="0" fillId="0" borderId="0" xfId="0" applyNumberFormat="1" applyAlignment="1">
      <alignment horizontal="center"/>
    </xf>
    <xf numFmtId="10" fontId="0" fillId="0" borderId="0" xfId="0" applyNumberFormat="1"/>
    <xf numFmtId="165" fontId="0" fillId="0" borderId="0" xfId="0" applyNumberFormat="1"/>
    <xf numFmtId="0" fontId="12" fillId="7" borderId="0" xfId="0" applyFont="1" applyFill="1"/>
    <xf numFmtId="0" fontId="17" fillId="7" borderId="0" xfId="0" applyFont="1" applyFill="1"/>
    <xf numFmtId="14" fontId="12" fillId="8" borderId="0" xfId="0" applyNumberFormat="1" applyFont="1" applyFill="1" applyAlignment="1">
      <alignment horizontal="left"/>
    </xf>
    <xf numFmtId="166" fontId="12" fillId="8" borderId="0" xfId="1" applyNumberFormat="1" applyFont="1" applyFill="1" applyAlignment="1">
      <alignment horizontal="center"/>
    </xf>
    <xf numFmtId="3" fontId="0" fillId="0" borderId="0" xfId="1" applyNumberFormat="1" applyFont="1" applyAlignment="1">
      <alignment horizontal="center" vertical="center"/>
    </xf>
    <xf numFmtId="1" fontId="0" fillId="0" borderId="0" xfId="1" applyNumberFormat="1" applyFont="1" applyAlignment="1">
      <alignment horizontal="center" vertical="center"/>
    </xf>
    <xf numFmtId="3" fontId="0" fillId="11" borderId="0" xfId="0" applyNumberFormat="1" applyFill="1" applyAlignment="1">
      <alignment horizontal="center" wrapText="1"/>
    </xf>
    <xf numFmtId="0" fontId="4" fillId="12" borderId="0" xfId="0" applyFont="1" applyFill="1"/>
    <xf numFmtId="0" fontId="10" fillId="0" borderId="0" xfId="0" applyFont="1" applyAlignment="1">
      <alignment vertical="top" wrapText="1"/>
    </xf>
    <xf numFmtId="0" fontId="4" fillId="12" borderId="0" xfId="0" applyFont="1" applyFill="1" applyAlignment="1">
      <alignment horizontal="center"/>
    </xf>
    <xf numFmtId="0" fontId="4" fillId="12" borderId="0" xfId="0" applyFont="1" applyFill="1" applyAlignment="1">
      <alignment horizontal="center" vertical="top" wrapText="1"/>
    </xf>
    <xf numFmtId="0" fontId="4" fillId="12" borderId="0" xfId="0" applyFont="1" applyFill="1" applyAlignment="1"/>
    <xf numFmtId="0" fontId="18" fillId="12" borderId="0" xfId="0" applyFont="1" applyFill="1" applyAlignment="1"/>
    <xf numFmtId="0" fontId="15" fillId="8" borderId="0" xfId="0" applyFont="1" applyFill="1" applyAlignment="1">
      <alignment horizontal="center" vertical="center" textRotation="45"/>
    </xf>
    <xf numFmtId="0" fontId="0" fillId="13" borderId="3" xfId="0" applyFont="1" applyFill="1" applyBorder="1" applyAlignment="1">
      <alignment horizontal="center" vertical="top"/>
    </xf>
  </cellXfs>
  <cellStyles count="3">
    <cellStyle name="Comma" xfId="1" builtinId="3"/>
    <cellStyle name="Normal" xfId="0" builtinId="0"/>
    <cellStyle name="Normal 2" xfId="2" xr:uid="{1BD3F8B1-5CAC-4CAD-86A1-FF971B9A9154}"/>
  </cellStyles>
  <dxfs count="2"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</dxfs>
  <tableStyles count="0" defaultTableStyle="TableStyleMedium2" defaultPivotStyle="PivotStyleLight16"/>
  <colors>
    <mruColors>
      <color rgb="FF293D68"/>
      <color rgb="FFFFFF9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pivotCacheDefinition" Target="pivotCache/pivotCacheDefinition2.xml"/><Relationship Id="rId26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21" Type="http://schemas.openxmlformats.org/officeDocument/2006/relationships/theme" Target="theme/theme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pivotCacheDefinition" Target="pivotCache/pivotCacheDefinition1.xml"/><Relationship Id="rId25" Type="http://schemas.openxmlformats.org/officeDocument/2006/relationships/calcChain" Target="calcChain.xml"/><Relationship Id="rId2" Type="http://schemas.openxmlformats.org/officeDocument/2006/relationships/worksheet" Target="worksheets/sheet2.xml"/><Relationship Id="rId16" Type="http://schemas.openxmlformats.org/officeDocument/2006/relationships/externalLink" Target="externalLinks/externalLink1.xml"/><Relationship Id="rId20" Type="http://schemas.microsoft.com/office/2007/relationships/slicerCache" Target="slicerCaches/slicerCache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sheetMetadata" Target="metadata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sharedStrings" Target="sharedStrings.xml"/><Relationship Id="rId28" Type="http://schemas.openxmlformats.org/officeDocument/2006/relationships/customXml" Target="../customXml/item3.xml"/><Relationship Id="rId10" Type="http://schemas.openxmlformats.org/officeDocument/2006/relationships/worksheet" Target="worksheets/sheet10.xml"/><Relationship Id="rId19" Type="http://schemas.openxmlformats.org/officeDocument/2006/relationships/pivotCacheDefinition" Target="pivotCache/pivotCacheDefinition3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styles" Target="styles.xml"/><Relationship Id="rId27" Type="http://schemas.openxmlformats.org/officeDocument/2006/relationships/customXml" Target="../customXml/item2.xml"/></Relationships>
</file>

<file path=xl/charts/_rels/chartEx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Ex1.xml><?xml version="1.0" encoding="utf-8"?>
<cx:chartSpace xmlns:a="http://schemas.openxmlformats.org/drawingml/2006/main" xmlns:r="http://schemas.openxmlformats.org/officeDocument/2006/relationships" xmlns:cx="http://schemas.microsoft.com/office/drawing/2014/chartex">
  <cx:chartData>
    <cx:data id="0">
      <cx:numDim type="val">
        <cx:f>_xlchart.v1.0</cx:f>
      </cx:numDim>
    </cx:data>
  </cx:chartData>
  <cx:chart>
    <cx:title pos="t" align="ctr" overlay="0">
      <cx:tx>
        <cx:txData>
          <cx:v>Chart Title</cx:v>
        </cx:txData>
      </cx:tx>
      <cx:txPr>
        <a:bodyPr vertOverflow="overflow" horzOverflow="overflow" wrap="square" lIns="0" tIns="0" rIns="0" bIns="0"/>
        <a:lstStyle/>
        <a:p>
          <a:pPr algn="ctr" rtl="0">
            <a:defRPr sz="1400" b="0" i="0">
              <a:solidFill>
                <a:srgbClr val="7F7F7F"/>
              </a:solidFill>
              <a:latin typeface="Calibri" panose="020F0502020204030204" pitchFamily="34" charset="0"/>
              <a:ea typeface="Calibri" panose="020F0502020204030204" pitchFamily="34" charset="0"/>
              <a:cs typeface="Calibri" panose="020F0502020204030204" pitchFamily="34" charset="0"/>
            </a:defRPr>
          </a:pPr>
          <a:r>
            <a:t>Chart Title</a:t>
          </a:r>
        </a:p>
      </cx:txPr>
    </cx:title>
    <cx:plotArea>
      <cx:plotAreaRegion>
        <cx:series layoutId="boxWhisker" uniqueId="{00000000-12AD-46A7-B90A-60CE1775E81B}">
          <cx:dataLabels>
            <cx:txPr>
              <a:bodyPr vertOverflow="overflow" horzOverflow="overflow" wrap="square" lIns="0" tIns="0" rIns="0" bIns="0"/>
              <a:lstStyle/>
              <a:p>
                <a:pPr algn="ctr" rtl="0">
                  <a:defRPr sz="1200" b="0" i="0">
                    <a:solidFill>
                      <a:srgbClr val="000000"/>
                    </a:solidFill>
                    <a:latin typeface="Calibri" panose="020F0502020204030204" pitchFamily="34" charset="0"/>
                    <a:ea typeface="Calibri" panose="020F0502020204030204" pitchFamily="34" charset="0"/>
                    <a:cs typeface="Calibri" panose="020F0502020204030204" pitchFamily="34" charset="0"/>
                  </a:defRPr>
                </a:pPr>
                <a:endParaRPr/>
              </a:p>
            </cx:txPr>
            <cx:visibility seriesName="0" categoryName="0" value="1"/>
          </cx:dataLabels>
          <cx:dataId val="0"/>
          <cx:layoutPr>
            <cx:visibility meanLine="0" meanMarker="1" nonoutliers="0" outliers="1"/>
            <cx:statistics quartileMethod="exclusive"/>
          </cx:layoutPr>
        </cx:series>
      </cx:plotAreaRegion>
      <cx:axis id="0">
        <cx:catScaling gapWidth="1"/>
        <cx:tickLabels/>
        <cx:txPr>
          <a:bodyPr vertOverflow="overflow" horzOverflow="overflow" wrap="square" lIns="0" tIns="0" rIns="0" bIns="0"/>
          <a:lstStyle/>
          <a:p>
            <a:pPr algn="ctr" rtl="0">
              <a:defRPr sz="1200" b="0" i="0">
                <a:solidFill>
                  <a:srgbClr val="000000"/>
                </a:solidFill>
                <a:latin typeface="Calibri" panose="020F0502020204030204" pitchFamily="34" charset="0"/>
                <a:ea typeface="Calibri" panose="020F0502020204030204" pitchFamily="34" charset="0"/>
                <a:cs typeface="Calibri" panose="020F0502020204030204" pitchFamily="34" charset="0"/>
              </a:defRPr>
            </a:pPr>
            <a:endParaRPr/>
          </a:p>
        </cx:txPr>
      </cx:axis>
      <cx:axis id="1">
        <cx:valScaling/>
        <cx:majorGridlines/>
        <cx:tickLabels/>
        <cx:txPr>
          <a:bodyPr vertOverflow="overflow" horzOverflow="overflow" wrap="square" lIns="0" tIns="0" rIns="0" bIns="0"/>
          <a:lstStyle/>
          <a:p>
            <a:pPr algn="ctr" rtl="0">
              <a:defRPr sz="1200" b="0" i="0">
                <a:solidFill>
                  <a:srgbClr val="000000"/>
                </a:solidFill>
                <a:latin typeface="Calibri" panose="020F0502020204030204" pitchFamily="34" charset="0"/>
                <a:ea typeface="Calibri" panose="020F0502020204030204" pitchFamily="34" charset="0"/>
                <a:cs typeface="Calibri" panose="020F0502020204030204" pitchFamily="34" charset="0"/>
              </a:defRPr>
            </a:pPr>
            <a:endParaRPr/>
          </a:p>
        </cx:txPr>
      </cx:axis>
    </cx:plotArea>
  </cx:chart>
</cx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40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/>
  </cs:chartArea>
  <cs:data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>
        <a:solidFill>
          <a:schemeClr val="phClr"/>
        </a:solidFill>
      </a:ln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seriesAxis>
  <cs:seriesLine>
    <cs:lnRef idx="0"/>
    <cs:fillRef idx="0"/>
    <cs:effectRef idx="0"/>
    <cs:fontRef idx="minor">
      <a:schemeClr val="tx1"/>
    </cs:fontRef>
    <cs:spPr>
      <a:ln w="9525" cap="flat">
        <a:solidFill>
          <a:srgbClr val="D9D9D9"/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/>
  </cs:valueAxis>
  <cs:wall>
    <cs:lnRef idx="0"/>
    <cs:fillRef idx="0"/>
    <cs:effectRef idx="0"/>
    <cs:fontRef idx="minor">
      <a:schemeClr val="tx1"/>
    </cs:fontRef>
  </cs:wall>
</cs:chartStyle>
</file>

<file path=xl/drawings/_rels/drawing2.xml.rels><?xml version="1.0" encoding="UTF-8" standalone="yes"?>
<Relationships xmlns="http://schemas.openxmlformats.org/package/2006/relationships"><Relationship Id="rId1" Type="http://schemas.microsoft.com/office/2014/relationships/chartEx" Target="../charts/chartEx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10</xdr:col>
      <xdr:colOff>676275</xdr:colOff>
      <xdr:row>2</xdr:row>
      <xdr:rowOff>76200</xdr:rowOff>
    </xdr:from>
    <xdr:to>
      <xdr:col>12</xdr:col>
      <xdr:colOff>895350</xdr:colOff>
      <xdr:row>16</xdr:row>
      <xdr:rowOff>47625</xdr:rowOff>
    </xdr:to>
    <mc:AlternateContent xmlns:mc="http://schemas.openxmlformats.org/markup-compatibility/2006" xmlns:a14="http://schemas.microsoft.com/office/drawing/2010/main">
      <mc:Choice Requires="a14">
        <xdr:graphicFrame macro="">
          <xdr:nvGraphicFramePr>
            <xdr:cNvPr id="2" name="Product">
              <a:extLst>
                <a:ext uri="{FF2B5EF4-FFF2-40B4-BE49-F238E27FC236}">
                  <a16:creationId xmlns:a16="http://schemas.microsoft.com/office/drawing/2014/main" id="{E73DD7E5-6DBE-B95B-3E49-912554C27207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Product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8705850" y="457200"/>
              <a:ext cx="1828800" cy="2638425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endParaRPr sz="1100"/>
            </a:p>
          </xdr:txBody>
        </xdr:sp>
      </mc:Fallback>
    </mc:AlternateContent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0</xdr:colOff>
      <xdr:row>4</xdr:row>
      <xdr:rowOff>0</xdr:rowOff>
    </xdr:from>
    <xdr:to>
      <xdr:col>11</xdr:col>
      <xdr:colOff>390525</xdr:colOff>
      <xdr:row>20</xdr:row>
      <xdr:rowOff>190500</xdr:rowOff>
    </xdr:to>
    <mc:AlternateContent xmlns:mc="http://schemas.openxmlformats.org/markup-compatibility/2006">
      <mc:Choice xmlns:cx1="http://schemas.microsoft.com/office/drawing/2015/9/8/chartex" Requires="cx1">
        <xdr:graphicFrame macro="">
          <xdr:nvGraphicFramePr>
            <xdr:cNvPr id="2" name="Chart 1">
              <a:extLst>
                <a:ext uri="{FF2B5EF4-FFF2-40B4-BE49-F238E27FC236}">
                  <a16:creationId xmlns:a16="http://schemas.microsoft.com/office/drawing/2014/main" id="{50FA9A12-1219-45C3-BCAC-AE2A1C1E6551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4/chartex">
              <cx:chart xmlns:cx="http://schemas.microsoft.com/office/drawing/2014/chartex" xmlns:r="http://schemas.openxmlformats.org/officeDocument/2006/relationships" r:id="rId1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3848100" y="800100"/>
              <a:ext cx="6324600" cy="339090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sz="1100"/>
                <a:t>This chart isn't available in your version of Excel.
Editing this shape or saving this workbook into a different file format will permanently break the chart.</a:t>
              </a:r>
            </a:p>
          </xdr:txBody>
        </xdr:sp>
      </mc:Fallback>
    </mc:AlternateContent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10%20Questions%20Excel%20Test%20START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Q7"/>
      <sheetName val="Q1"/>
      <sheetName val="Q2"/>
      <sheetName val="Q3"/>
      <sheetName val="Q4"/>
      <sheetName val="Q5"/>
      <sheetName val="Q6"/>
      <sheetName val="Q8"/>
      <sheetName val="Sheet1"/>
      <sheetName val="Q9"/>
      <sheetName val="Sheet2"/>
      <sheetName val="Q10"/>
    </sheetNames>
    <sheetDataSet>
      <sheetData sheetId="0">
        <row r="6">
          <cell r="C6">
            <v>4120</v>
          </cell>
        </row>
        <row r="7">
          <cell r="C7">
            <v>3980</v>
          </cell>
        </row>
        <row r="8">
          <cell r="C8">
            <v>4310</v>
          </cell>
        </row>
        <row r="9">
          <cell r="C9">
            <v>4520</v>
          </cell>
        </row>
        <row r="10">
          <cell r="C10">
            <v>4180</v>
          </cell>
        </row>
        <row r="11">
          <cell r="C11">
            <v>4760</v>
          </cell>
        </row>
        <row r="12">
          <cell r="C12">
            <v>4380</v>
          </cell>
        </row>
        <row r="13">
          <cell r="C13">
            <v>4950</v>
          </cell>
        </row>
        <row r="14">
          <cell r="C14">
            <v>4210</v>
          </cell>
        </row>
        <row r="15">
          <cell r="C15">
            <v>4630</v>
          </cell>
        </row>
        <row r="16">
          <cell r="C16">
            <v>4440</v>
          </cell>
        </row>
        <row r="17">
          <cell r="C17">
            <v>4870</v>
          </cell>
        </row>
        <row r="18">
          <cell r="C18">
            <v>4290</v>
          </cell>
        </row>
        <row r="19">
          <cell r="C19">
            <v>4560</v>
          </cell>
        </row>
        <row r="20">
          <cell r="C20">
            <v>12400</v>
          </cell>
        </row>
        <row r="21">
          <cell r="C21">
            <v>4310</v>
          </cell>
        </row>
        <row r="22">
          <cell r="C22">
            <v>4080</v>
          </cell>
        </row>
        <row r="23">
          <cell r="C23">
            <v>4670</v>
          </cell>
        </row>
        <row r="24">
          <cell r="C24">
            <v>900</v>
          </cell>
        </row>
        <row r="25">
          <cell r="C25">
            <v>4520</v>
          </cell>
        </row>
        <row r="26">
          <cell r="C26">
            <v>4740</v>
          </cell>
        </row>
        <row r="27">
          <cell r="C27">
            <v>4330</v>
          </cell>
        </row>
        <row r="28">
          <cell r="C28">
            <v>4610</v>
          </cell>
        </row>
        <row r="29">
          <cell r="C29">
            <v>4270</v>
          </cell>
        </row>
        <row r="30">
          <cell r="C30">
            <v>4980</v>
          </cell>
        </row>
        <row r="31">
          <cell r="C31">
            <v>4420</v>
          </cell>
        </row>
        <row r="32">
          <cell r="C32">
            <v>11200</v>
          </cell>
        </row>
        <row r="33">
          <cell r="C33">
            <v>4350</v>
          </cell>
        </row>
      </sheetData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</sheetDataSet>
  </externalBook>
</externalLink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_rels/pivotCacheDefinition2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2.xml"/></Relationships>
</file>

<file path=xl/pivotCache/_rels/pivotCacheDefinition3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3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Excel Services" refreshedDate="46093.264243171296" createdVersion="8" refreshedVersion="8" minRefreshableVersion="3" recordCount="28" xr:uid="{E7AB49A6-1F3B-4258-A2C1-B7EFA0030B23}">
  <cacheSource type="worksheet">
    <worksheetSource ref="B5:E33" sheet="Q4"/>
  </cacheSource>
  <cacheFields count="4">
    <cacheField name="ID Number" numFmtId="0">
      <sharedItems containsSemiMixedTypes="0" containsString="0" containsNumber="1" containsInteger="1" minValue="1185" maxValue="1212"/>
    </cacheField>
    <cacheField name="Product" numFmtId="0">
      <sharedItems count="6">
        <s v="Apples"/>
        <s v="Lemons"/>
        <s v="Bananas"/>
        <s v="Oranges"/>
        <s v="Grapes"/>
        <s v="Peaches"/>
      </sharedItems>
    </cacheField>
    <cacheField name="Revenue" numFmtId="6">
      <sharedItems containsSemiMixedTypes="0" containsString="0" containsNumber="1" minValue="36000" maxValue="73200"/>
    </cacheField>
    <cacheField name="Profit" numFmtId="6">
      <sharedItems containsSemiMixedTypes="0" containsString="0" containsNumber="1" minValue="13300" maxValue="39000"/>
    </cacheField>
  </cacheFields>
  <extLst>
    <ext xmlns:x14="http://schemas.microsoft.com/office/spreadsheetml/2009/9/main" uri="{725AE2AE-9491-48be-B2B4-4EB974FC3084}">
      <x14:pivotCacheDefinition pivotCacheId="800576719"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Excel Services" refreshedDate="46093.626645023149" createdVersion="8" refreshedVersion="8" minRefreshableVersion="3" recordCount="23" xr:uid="{EAEC7B8F-832C-4434-A827-078223CF4280}">
  <cacheSource type="worksheet">
    <worksheetSource ref="B5:H28" sheet="Q13"/>
  </cacheSource>
  <cacheFields count="7">
    <cacheField name="ID" numFmtId="0">
      <sharedItems containsSemiMixedTypes="0" containsString="0" containsNumber="1" containsInteger="1" minValue="1001" maxValue="1023"/>
    </cacheField>
    <cacheField name="Date" numFmtId="14">
      <sharedItems containsSemiMixedTypes="0" containsNonDate="0" containsDate="1" containsString="0" minDate="2025-01-05T00:00:00" maxDate="2025-06-21T00:00:00"/>
    </cacheField>
    <cacheField name="Product" numFmtId="0">
      <sharedItems/>
    </cacheField>
    <cacheField name="Method" numFmtId="0">
      <sharedItems count="4">
        <s v="In-store"/>
        <s v="Third Party"/>
        <s v="Online Store"/>
        <s v="Referral"/>
      </sharedItems>
    </cacheField>
    <cacheField name="Quantity" numFmtId="1">
      <sharedItems containsSemiMixedTypes="0" containsString="0" containsNumber="1" minValue="109" maxValue="482.20000000000005"/>
    </cacheField>
    <cacheField name="Sales" numFmtId="165">
      <sharedItems containsSemiMixedTypes="0" containsString="0" containsNumber="1" minValue="34148.400000000001" maxValue="626377.80000000005"/>
    </cacheField>
    <cacheField name="Expenses" numFmtId="165">
      <sharedItems containsSemiMixedTypes="0" containsString="0" containsNumber="1" minValue="6692.4000000000005" maxValue="221329.80000000002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3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Excel Services" refreshedDate="46093.627637152778" createdVersion="8" refreshedVersion="8" minRefreshableVersion="3" recordCount="23" xr:uid="{924BC099-E8E6-4ED2-8AA7-FECD300B6D01}">
  <cacheSource type="worksheet">
    <worksheetSource ref="B5:H28" sheet="Q15"/>
  </cacheSource>
  <cacheFields count="7">
    <cacheField name="ID" numFmtId="0">
      <sharedItems containsSemiMixedTypes="0" containsString="0" containsNumber="1" containsInteger="1" minValue="1001" maxValue="1023"/>
    </cacheField>
    <cacheField name="Date" numFmtId="14">
      <sharedItems containsSemiMixedTypes="0" containsNonDate="0" containsDate="1" containsString="0" minDate="2025-01-05T00:00:00" maxDate="2025-06-21T00:00:00"/>
    </cacheField>
    <cacheField name="Product" numFmtId="0">
      <sharedItems count="5">
        <s v="iphone"/>
        <s v="macbook"/>
        <s v="ipad"/>
        <s v="iwatch"/>
        <s v="airpod"/>
      </sharedItems>
    </cacheField>
    <cacheField name="Method" numFmtId="0">
      <sharedItems/>
    </cacheField>
    <cacheField name="Quantity" numFmtId="1">
      <sharedItems containsSemiMixedTypes="0" containsString="0" containsNumber="1" minValue="109" maxValue="482.20000000000005"/>
    </cacheField>
    <cacheField name="Sales" numFmtId="165">
      <sharedItems containsSemiMixedTypes="0" containsString="0" containsNumber="1" minValue="34148.400000000001" maxValue="626377.80000000005"/>
    </cacheField>
    <cacheField name="Expenses" numFmtId="165">
      <sharedItems containsSemiMixedTypes="0" containsString="0" containsNumber="1" minValue="6692.4000000000005" maxValue="221329.80000000002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28">
  <r>
    <n v="1185"/>
    <x v="0"/>
    <n v="60000"/>
    <n v="39000"/>
  </r>
  <r>
    <n v="1186"/>
    <x v="1"/>
    <n v="50000"/>
    <n v="30000"/>
  </r>
  <r>
    <n v="1187"/>
    <x v="2"/>
    <n v="40000"/>
    <n v="18000"/>
  </r>
  <r>
    <n v="1188"/>
    <x v="3"/>
    <n v="38250"/>
    <n v="13387.5"/>
  </r>
  <r>
    <n v="1189"/>
    <x v="4"/>
    <n v="54000"/>
    <n v="27000"/>
  </r>
  <r>
    <n v="1190"/>
    <x v="5"/>
    <n v="50000"/>
    <n v="32500"/>
  </r>
  <r>
    <n v="1191"/>
    <x v="0"/>
    <n v="62500"/>
    <n v="37500"/>
  </r>
  <r>
    <n v="1192"/>
    <x v="1"/>
    <n v="45000"/>
    <n v="20249.999999999996"/>
  </r>
  <r>
    <n v="1193"/>
    <x v="2"/>
    <n v="38000"/>
    <n v="13300"/>
  </r>
  <r>
    <n v="1194"/>
    <x v="3"/>
    <n v="37125"/>
    <n v="18562.5"/>
  </r>
  <r>
    <n v="1195"/>
    <x v="4"/>
    <n v="54000"/>
    <n v="35100"/>
  </r>
  <r>
    <n v="1196"/>
    <x v="5"/>
    <n v="50000"/>
    <n v="30000"/>
  </r>
  <r>
    <n v="1197"/>
    <x v="0"/>
    <n v="61000"/>
    <n v="27450"/>
  </r>
  <r>
    <n v="1198"/>
    <x v="1"/>
    <n v="46250"/>
    <n v="16187.5"/>
  </r>
  <r>
    <n v="1199"/>
    <x v="2"/>
    <n v="38000"/>
    <n v="19000"/>
  </r>
  <r>
    <n v="1200"/>
    <x v="3"/>
    <n v="36000"/>
    <n v="23400"/>
  </r>
  <r>
    <n v="1201"/>
    <x v="4"/>
    <n v="51000"/>
    <n v="30600"/>
  </r>
  <r>
    <n v="1202"/>
    <x v="5"/>
    <n v="47500"/>
    <n v="21374.999999999996"/>
  </r>
  <r>
    <n v="1203"/>
    <x v="0"/>
    <n v="60000"/>
    <n v="21000"/>
  </r>
  <r>
    <n v="1204"/>
    <x v="1"/>
    <n v="45000"/>
    <n v="22500"/>
  </r>
  <r>
    <n v="1205"/>
    <x v="2"/>
    <n v="36000"/>
    <n v="23400"/>
  </r>
  <r>
    <n v="1206"/>
    <x v="3"/>
    <n v="37125"/>
    <n v="22275"/>
  </r>
  <r>
    <n v="1207"/>
    <x v="4"/>
    <n v="49500"/>
    <n v="22274.999999999996"/>
  </r>
  <r>
    <n v="1208"/>
    <x v="5"/>
    <n v="47500"/>
    <n v="16625"/>
  </r>
  <r>
    <n v="1209"/>
    <x v="0"/>
    <n v="73200"/>
    <n v="36600"/>
  </r>
  <r>
    <n v="1210"/>
    <x v="1"/>
    <n v="50875.000000000007"/>
    <n v="33068.750000000007"/>
  </r>
  <r>
    <n v="1211"/>
    <x v="2"/>
    <n v="45000"/>
    <n v="27000"/>
  </r>
  <r>
    <n v="1212"/>
    <x v="3"/>
    <n v="42500"/>
    <n v="19124.999999999996"/>
  </r>
</pivotCacheRecords>
</file>

<file path=xl/pivotCache/pivotCacheRecords2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23">
  <r>
    <n v="1001"/>
    <d v="2025-01-05T00:00:00"/>
    <s v="iphone"/>
    <x v="0"/>
    <n v="313.5"/>
    <n v="345550"/>
    <n v="90601.5"/>
  </r>
  <r>
    <n v="1002"/>
    <d v="2025-01-12T00:00:00"/>
    <s v="iphone"/>
    <x v="1"/>
    <n v="300.7"/>
    <n v="330469.3"/>
    <n v="86902.3"/>
  </r>
  <r>
    <n v="1003"/>
    <d v="2025-01-19T00:00:00"/>
    <s v="macbook"/>
    <x v="2"/>
    <n v="482.20000000000005"/>
    <n v="626377.80000000005"/>
    <n v="221329.80000000002"/>
  </r>
  <r>
    <n v="1004"/>
    <d v="2025-01-26T00:00:00"/>
    <s v="ipad"/>
    <x v="3"/>
    <n v="109"/>
    <n v="65291"/>
    <n v="32591"/>
  </r>
  <r>
    <n v="1005"/>
    <d v="2025-02-03T00:00:00"/>
    <s v="iwatch"/>
    <x v="2"/>
    <n v="450.90000000000003"/>
    <n v="202454.1"/>
    <n v="71693.100000000006"/>
  </r>
  <r>
    <n v="1006"/>
    <d v="2025-02-10T00:00:00"/>
    <s v="airpod"/>
    <x v="2"/>
    <n v="270.90000000000003"/>
    <n v="53909.100000000006"/>
    <n v="10565.100000000002"/>
  </r>
  <r>
    <n v="1007"/>
    <d v="2025-02-17T00:00:00"/>
    <s v="airpod"/>
    <x v="0"/>
    <n v="443.1"/>
    <n v="88176.900000000009"/>
    <n v="17280.900000000001"/>
  </r>
  <r>
    <n v="1008"/>
    <d v="2025-02-24T00:00:00"/>
    <s v="airpod"/>
    <x v="2"/>
    <n v="459.3"/>
    <n v="91400.7"/>
    <n v="17912.7"/>
  </r>
  <r>
    <n v="1009"/>
    <d v="2025-03-05T00:00:00"/>
    <s v="iphone"/>
    <x v="2"/>
    <n v="222.5"/>
    <n v="244527.5"/>
    <n v="64302.5"/>
  </r>
  <r>
    <n v="1010"/>
    <d v="2025-03-12T00:00:00"/>
    <s v="macbook"/>
    <x v="0"/>
    <n v="479.40000000000003"/>
    <n v="622740.60000000009"/>
    <n v="220044.6"/>
  </r>
  <r>
    <n v="1011"/>
    <d v="2025-03-19T00:00:00"/>
    <s v="macbook"/>
    <x v="0"/>
    <n v="301.2"/>
    <n v="391258.8"/>
    <n v="138250.79999999999"/>
  </r>
  <r>
    <n v="1012"/>
    <d v="2025-03-26T00:00:00"/>
    <s v="airpod"/>
    <x v="0"/>
    <n v="315.10000000000002"/>
    <n v="62704.9"/>
    <n v="12288.900000000001"/>
  </r>
  <r>
    <n v="1013"/>
    <d v="2025-04-07T00:00:00"/>
    <s v="iphone"/>
    <x v="0"/>
    <n v="142.4"/>
    <n v="156497.60000000001"/>
    <n v="41153.599999999999"/>
  </r>
  <r>
    <n v="1014"/>
    <d v="2025-04-14T00:00:00"/>
    <s v="iwatch"/>
    <x v="0"/>
    <n v="311"/>
    <n v="139639"/>
    <n v="49449"/>
  </r>
  <r>
    <n v="1015"/>
    <d v="2025-04-21T00:00:00"/>
    <s v="ipad"/>
    <x v="0"/>
    <n v="378.20000000000005"/>
    <n v="226541.80000000002"/>
    <n v="113081.80000000002"/>
  </r>
  <r>
    <n v="1016"/>
    <d v="2025-04-28T00:00:00"/>
    <s v="iwatch"/>
    <x v="3"/>
    <n v="291.90000000000003"/>
    <n v="131063.10000000002"/>
    <n v="46412.100000000006"/>
  </r>
  <r>
    <n v="1017"/>
    <d v="2025-05-05T00:00:00"/>
    <s v="iphone"/>
    <x v="3"/>
    <n v="479.3"/>
    <n v="526750.70000000007"/>
    <n v="138517.70000000001"/>
  </r>
  <r>
    <n v="1018"/>
    <d v="2025-05-12T00:00:00"/>
    <s v="iwatch"/>
    <x v="1"/>
    <n v="115.10000000000001"/>
    <n v="51679.9"/>
    <n v="18300.900000000001"/>
  </r>
  <r>
    <n v="1019"/>
    <d v="2025-05-19T00:00:00"/>
    <s v="iphone"/>
    <x v="3"/>
    <n v="347.8"/>
    <n v="382232.2"/>
    <n v="100514.2"/>
  </r>
  <r>
    <n v="1020"/>
    <d v="2025-05-26T00:00:00"/>
    <s v="macbook"/>
    <x v="3"/>
    <n v="222.4"/>
    <n v="288897.60000000003"/>
    <n v="102081.60000000001"/>
  </r>
  <r>
    <n v="1021"/>
    <d v="2025-06-06T00:00:00"/>
    <s v="iphone"/>
    <x v="2"/>
    <n v="276.5"/>
    <n v="303873.5"/>
    <n v="79908.5"/>
  </r>
  <r>
    <n v="1022"/>
    <d v="2025-06-13T00:00:00"/>
    <s v="iphone"/>
    <x v="2"/>
    <n v="151.20000000000002"/>
    <n v="166168.80000000002"/>
    <n v="43696.800000000003"/>
  </r>
  <r>
    <n v="1023"/>
    <d v="2025-06-20T00:00:00"/>
    <s v="airpod"/>
    <x v="2"/>
    <n v="171.60000000000002"/>
    <n v="34148.400000000001"/>
    <n v="6692.4000000000005"/>
  </r>
</pivotCacheRecords>
</file>

<file path=xl/pivotCache/pivotCacheRecords3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23">
  <r>
    <n v="1001"/>
    <d v="2025-01-05T00:00:00"/>
    <x v="0"/>
    <s v="In-store"/>
    <n v="313.5"/>
    <n v="345550"/>
    <n v="90601.5"/>
  </r>
  <r>
    <n v="1002"/>
    <d v="2025-01-12T00:00:00"/>
    <x v="0"/>
    <s v="Third Party"/>
    <n v="300.7"/>
    <n v="330469.3"/>
    <n v="86902.3"/>
  </r>
  <r>
    <n v="1003"/>
    <d v="2025-01-19T00:00:00"/>
    <x v="1"/>
    <s v="Online Store"/>
    <n v="482.20000000000005"/>
    <n v="626377.80000000005"/>
    <n v="221329.80000000002"/>
  </r>
  <r>
    <n v="1004"/>
    <d v="2025-01-26T00:00:00"/>
    <x v="2"/>
    <s v="Referral"/>
    <n v="109"/>
    <n v="65291"/>
    <n v="32591"/>
  </r>
  <r>
    <n v="1005"/>
    <d v="2025-02-03T00:00:00"/>
    <x v="3"/>
    <s v="Online Store"/>
    <n v="450.90000000000003"/>
    <n v="202454.1"/>
    <n v="71693.100000000006"/>
  </r>
  <r>
    <n v="1006"/>
    <d v="2025-02-10T00:00:00"/>
    <x v="4"/>
    <s v="Online Store"/>
    <n v="270.90000000000003"/>
    <n v="53909.100000000006"/>
    <n v="10565.100000000002"/>
  </r>
  <r>
    <n v="1007"/>
    <d v="2025-02-17T00:00:00"/>
    <x v="4"/>
    <s v="In-store"/>
    <n v="443.1"/>
    <n v="88176.900000000009"/>
    <n v="17280.900000000001"/>
  </r>
  <r>
    <n v="1008"/>
    <d v="2025-02-24T00:00:00"/>
    <x v="4"/>
    <s v="Online Store"/>
    <n v="459.3"/>
    <n v="91400.7"/>
    <n v="17912.7"/>
  </r>
  <r>
    <n v="1009"/>
    <d v="2025-03-05T00:00:00"/>
    <x v="0"/>
    <s v="Online Store"/>
    <n v="222.5"/>
    <n v="244527.5"/>
    <n v="64302.5"/>
  </r>
  <r>
    <n v="1010"/>
    <d v="2025-03-12T00:00:00"/>
    <x v="1"/>
    <s v="In-store"/>
    <n v="479.40000000000003"/>
    <n v="622740.60000000009"/>
    <n v="220044.6"/>
  </r>
  <r>
    <n v="1011"/>
    <d v="2025-03-19T00:00:00"/>
    <x v="1"/>
    <s v="In-store"/>
    <n v="301.2"/>
    <n v="391258.8"/>
    <n v="138250.79999999999"/>
  </r>
  <r>
    <n v="1012"/>
    <d v="2025-03-26T00:00:00"/>
    <x v="4"/>
    <s v="In-store"/>
    <n v="315.10000000000002"/>
    <n v="62704.9"/>
    <n v="12288.900000000001"/>
  </r>
  <r>
    <n v="1013"/>
    <d v="2025-04-07T00:00:00"/>
    <x v="0"/>
    <s v="In-store"/>
    <n v="142.4"/>
    <n v="156497.60000000001"/>
    <n v="41153.599999999999"/>
  </r>
  <r>
    <n v="1014"/>
    <d v="2025-04-14T00:00:00"/>
    <x v="3"/>
    <s v="In-store"/>
    <n v="311"/>
    <n v="139639"/>
    <n v="49449"/>
  </r>
  <r>
    <n v="1015"/>
    <d v="2025-04-21T00:00:00"/>
    <x v="2"/>
    <s v="In-store"/>
    <n v="378.20000000000005"/>
    <n v="226541.80000000002"/>
    <n v="113081.80000000002"/>
  </r>
  <r>
    <n v="1016"/>
    <d v="2025-04-28T00:00:00"/>
    <x v="3"/>
    <s v="Referral"/>
    <n v="291.90000000000003"/>
    <n v="131063.10000000002"/>
    <n v="46412.100000000006"/>
  </r>
  <r>
    <n v="1017"/>
    <d v="2025-05-05T00:00:00"/>
    <x v="0"/>
    <s v="Referral"/>
    <n v="479.3"/>
    <n v="526750.70000000007"/>
    <n v="138517.70000000001"/>
  </r>
  <r>
    <n v="1018"/>
    <d v="2025-05-12T00:00:00"/>
    <x v="3"/>
    <s v="Third Party"/>
    <n v="115.10000000000001"/>
    <n v="51679.9"/>
    <n v="18300.900000000001"/>
  </r>
  <r>
    <n v="1019"/>
    <d v="2025-05-19T00:00:00"/>
    <x v="0"/>
    <s v="Referral"/>
    <n v="347.8"/>
    <n v="382232.2"/>
    <n v="100514.2"/>
  </r>
  <r>
    <n v="1020"/>
    <d v="2025-05-26T00:00:00"/>
    <x v="1"/>
    <s v="Referral"/>
    <n v="222.4"/>
    <n v="288897.60000000003"/>
    <n v="102081.60000000001"/>
  </r>
  <r>
    <n v="1021"/>
    <d v="2025-06-06T00:00:00"/>
    <x v="0"/>
    <s v="Online Store"/>
    <n v="276.5"/>
    <n v="303873.5"/>
    <n v="79908.5"/>
  </r>
  <r>
    <n v="1022"/>
    <d v="2025-06-13T00:00:00"/>
    <x v="0"/>
    <s v="Online Store"/>
    <n v="151.20000000000002"/>
    <n v="166168.80000000002"/>
    <n v="43696.800000000003"/>
  </r>
  <r>
    <n v="1023"/>
    <d v="2025-06-20T00:00:00"/>
    <x v="4"/>
    <s v="Online Store"/>
    <n v="171.60000000000002"/>
    <n v="34148.400000000001"/>
    <n v="6692.4000000000005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3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502EA889-EDC5-4B20-AB25-0ABB36C4EB93}" name="PivotTable1" cacheId="4927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compact="0" compactData="0" multipleFieldFilters="0">
  <location ref="H6:J13" firstHeaderRow="0" firstDataRow="1" firstDataCol="1"/>
  <pivotFields count="4">
    <pivotField compact="0" outline="0" showAll="0"/>
    <pivotField axis="axisRow" compact="0" outline="0" showAll="0">
      <items count="7">
        <item x="0"/>
        <item x="2"/>
        <item x="4"/>
        <item x="1"/>
        <item x="3"/>
        <item x="5"/>
        <item t="default"/>
      </items>
    </pivotField>
    <pivotField dataField="1" compact="0" numFmtId="6" outline="0" showAll="0"/>
    <pivotField dataField="1" compact="0" numFmtId="6" outline="0" showAll="0"/>
  </pivotFields>
  <rowFields count="1">
    <field x="1"/>
  </rowFields>
  <rowItems count="7">
    <i>
      <x/>
    </i>
    <i>
      <x v="1"/>
    </i>
    <i>
      <x v="2"/>
    </i>
    <i>
      <x v="3"/>
    </i>
    <i>
      <x v="4"/>
    </i>
    <i>
      <x v="5"/>
    </i>
    <i t="grand">
      <x/>
    </i>
  </rowItems>
  <colFields count="1">
    <field x="-2"/>
  </colFields>
  <colItems count="2">
    <i>
      <x/>
    </i>
    <i i="1">
      <x v="1"/>
    </i>
  </colItems>
  <dataFields count="2">
    <dataField name="Sum of Revenue" fld="2" baseField="0" baseItem="0" numFmtId="6"/>
    <dataField name="Average of Profit" fld="3" subtotal="average" baseField="0" baseItem="0" numFmtId="6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AB1B7FC5-B0C9-46B1-83E9-D9C331FD7B38}" name="PivotTable1" cacheId="5301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compact="0" compactData="0" multipleFieldFilters="0">
  <location ref="J5:K10" firstHeaderRow="1" firstDataRow="1" firstDataCol="1"/>
  <pivotFields count="7">
    <pivotField compact="0" outline="0" showAll="0"/>
    <pivotField compact="0" numFmtId="14" outline="0" showAll="0"/>
    <pivotField compact="0" outline="0" showAll="0"/>
    <pivotField axis="axisRow" compact="0" outline="0" showAll="0">
      <items count="5">
        <item x="0"/>
        <item x="2"/>
        <item x="3"/>
        <item x="1"/>
        <item t="default"/>
      </items>
    </pivotField>
    <pivotField compact="0" numFmtId="1" outline="0" showAll="0"/>
    <pivotField dataField="1" compact="0" numFmtId="165" outline="0" showAll="0"/>
    <pivotField compact="0" numFmtId="165" outline="0" showAll="0"/>
  </pivotFields>
  <rowFields count="1">
    <field x="3"/>
  </rowFields>
  <rowItems count="5">
    <i>
      <x/>
    </i>
    <i>
      <x v="1"/>
    </i>
    <i>
      <x v="2"/>
    </i>
    <i>
      <x v="3"/>
    </i>
    <i t="grand">
      <x/>
    </i>
  </rowItems>
  <colItems count="1">
    <i/>
  </colItems>
  <dataFields count="1">
    <dataField name="Sum of Sales" fld="5" showDataAs="percentOfTotal" baseField="0" baseItem="0" numFmtId="1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6D18A046-A3E8-4D6D-A1DC-A6960E193388}" name="PivotTable2" cacheId="5312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compact="0" compactData="0" multipleFieldFilters="0">
  <location ref="J5:K11" firstHeaderRow="1" firstDataRow="1" firstDataCol="1"/>
  <pivotFields count="7">
    <pivotField compact="0" outline="0" showAll="0"/>
    <pivotField compact="0" numFmtId="14" outline="0" showAll="0"/>
    <pivotField axis="axisRow" compact="0" outline="0" showAll="0">
      <items count="6">
        <item x="4"/>
        <item x="2"/>
        <item x="0"/>
        <item x="3"/>
        <item x="1"/>
        <item t="default"/>
      </items>
    </pivotField>
    <pivotField compact="0" outline="0" showAll="0"/>
    <pivotField compact="0" numFmtId="1" outline="0" showAll="0"/>
    <pivotField dataField="1" compact="0" numFmtId="165" outline="0" showAll="0"/>
    <pivotField compact="0" numFmtId="165" outline="0" showAll="0"/>
  </pivotFields>
  <rowFields count="1">
    <field x="2"/>
  </rowFields>
  <rowItems count="6">
    <i>
      <x/>
    </i>
    <i>
      <x v="1"/>
    </i>
    <i>
      <x v="2"/>
    </i>
    <i>
      <x v="3"/>
    </i>
    <i>
      <x v="4"/>
    </i>
    <i t="grand">
      <x/>
    </i>
  </rowItems>
  <colItems count="1">
    <i/>
  </colItems>
  <dataFields count="1">
    <dataField name="StdDev of Sales" fld="5" subtotal="stdDev" baseField="0" baseItem="0" numFmtId="165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slicerCaches/slicerCache1.xml><?xml version="1.0" encoding="utf-8"?>
<slicerCacheDefinition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 name="Slicer_Product" xr10:uid="{8D1BB867-72AE-4ECB-856A-E06383899B32}" sourceName="Product">
  <pivotTables>
    <pivotTable tabId="9" name="PivotTable1"/>
  </pivotTables>
  <data>
    <tabular pivotCacheId="800576719">
      <items count="6">
        <i x="0" s="1"/>
        <i x="2" s="1"/>
        <i x="4" s="1"/>
        <i x="1" s="1"/>
        <i x="3" s="1"/>
        <i x="5" s="1"/>
      </items>
    </tabular>
  </data>
</slicerCacheDefinition>
</file>

<file path=xl/slicers/slicer1.xml><?xml version="1.0" encoding="utf-8"?>
<slicers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>
  <slicer name="Product" xr10:uid="{422B6500-241D-4312-8E09-6060BE42970B}" cache="Slicer_Product" caption="Product" rowHeight="228600"/>
</slicer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4.xml.rels><?xml version="1.0" encoding="UTF-8" standalone="yes"?>
<Relationships xmlns="http://schemas.openxmlformats.org/package/2006/relationships"><Relationship Id="rId3" Type="http://schemas.microsoft.com/office/2007/relationships/slicer" Target="../slicers/slicer1.xml"/><Relationship Id="rId2" Type="http://schemas.openxmlformats.org/officeDocument/2006/relationships/drawing" Target="../drawings/drawing1.xml"/><Relationship Id="rId1" Type="http://schemas.openxmlformats.org/officeDocument/2006/relationships/pivotTable" Target="../pivotTables/pivotTable1.xml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2.xml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B920310-EC17-284A-A0B1-22252D38A3A9}">
  <dimension ref="B1:I16"/>
  <sheetViews>
    <sheetView zoomScale="150" workbookViewId="0">
      <selection activeCell="G18" sqref="G18"/>
    </sheetView>
  </sheetViews>
  <sheetFormatPr defaultColWidth="10.625" defaultRowHeight="15.6"/>
  <cols>
    <col min="1" max="1" width="6" customWidth="1"/>
    <col min="2" max="2" width="8.625" customWidth="1"/>
    <col min="4" max="4" width="8.375" bestFit="1" customWidth="1"/>
    <col min="6" max="6" width="19.5" bestFit="1" customWidth="1"/>
    <col min="9" max="9" width="6.5" customWidth="1"/>
  </cols>
  <sheetData>
    <row r="1" spans="2:9" ht="15.75">
      <c r="E1" s="57" t="s">
        <v>0</v>
      </c>
      <c r="F1" s="57"/>
      <c r="G1" s="57"/>
    </row>
    <row r="2" spans="2:9" ht="15.75">
      <c r="B2" s="14" t="s">
        <v>1</v>
      </c>
      <c r="C2" s="15"/>
      <c r="D2" s="15"/>
      <c r="E2" s="15"/>
      <c r="F2" s="15"/>
      <c r="G2" s="15"/>
      <c r="H2" s="15"/>
      <c r="I2" s="15"/>
    </row>
    <row r="3" spans="2:9">
      <c r="B3" t="s">
        <v>2</v>
      </c>
    </row>
    <row r="5" spans="2:9">
      <c r="B5" s="3" t="s">
        <v>3</v>
      </c>
      <c r="C5" s="3" t="s">
        <v>4</v>
      </c>
      <c r="D5" s="3" t="s">
        <v>5</v>
      </c>
    </row>
    <row r="6" spans="2:9">
      <c r="B6" s="1" t="s">
        <v>6</v>
      </c>
      <c r="C6" s="1" t="s">
        <v>7</v>
      </c>
      <c r="D6" s="4">
        <v>50000</v>
      </c>
    </row>
    <row r="7" spans="2:9">
      <c r="B7" s="1" t="s">
        <v>8</v>
      </c>
      <c r="C7" s="1" t="s">
        <v>9</v>
      </c>
      <c r="D7" s="4">
        <v>45000</v>
      </c>
    </row>
    <row r="8" spans="2:9">
      <c r="B8" s="1" t="s">
        <v>10</v>
      </c>
      <c r="C8" s="1" t="s">
        <v>9</v>
      </c>
      <c r="D8" s="4">
        <v>48500</v>
      </c>
    </row>
    <row r="9" spans="2:9">
      <c r="B9" s="1" t="s">
        <v>11</v>
      </c>
      <c r="C9" s="1" t="s">
        <v>9</v>
      </c>
      <c r="D9" s="4">
        <v>55000</v>
      </c>
    </row>
    <row r="10" spans="2:9">
      <c r="B10" s="1" t="s">
        <v>12</v>
      </c>
      <c r="C10" s="1" t="s">
        <v>13</v>
      </c>
      <c r="D10" s="4">
        <v>62500</v>
      </c>
    </row>
    <row r="11" spans="2:9">
      <c r="B11" s="1" t="s">
        <v>14</v>
      </c>
      <c r="C11" s="1" t="s">
        <v>13</v>
      </c>
      <c r="D11" s="4">
        <v>41500</v>
      </c>
    </row>
    <row r="12" spans="2:9">
      <c r="B12" s="1" t="s">
        <v>15</v>
      </c>
      <c r="C12" s="1" t="s">
        <v>16</v>
      </c>
      <c r="D12" s="4">
        <v>40000</v>
      </c>
    </row>
    <row r="13" spans="2:9">
      <c r="B13" s="1" t="s">
        <v>17</v>
      </c>
      <c r="C13" s="1" t="s">
        <v>16</v>
      </c>
      <c r="D13" s="4">
        <v>32500</v>
      </c>
    </row>
    <row r="14" spans="2:9">
      <c r="B14" s="1" t="s">
        <v>18</v>
      </c>
      <c r="C14" s="1" t="s">
        <v>16</v>
      </c>
      <c r="D14" s="4">
        <v>80000</v>
      </c>
    </row>
    <row r="15" spans="2:9">
      <c r="B15" s="1" t="s">
        <v>19</v>
      </c>
      <c r="C15" s="1" t="s">
        <v>7</v>
      </c>
      <c r="D15" s="4">
        <v>64280</v>
      </c>
    </row>
    <row r="16" spans="2:9">
      <c r="B16" s="1" t="s">
        <v>20</v>
      </c>
      <c r="C16" s="1" t="s">
        <v>7</v>
      </c>
      <c r="D16" s="4">
        <v>53250</v>
      </c>
    </row>
  </sheetData>
  <mergeCells count="1">
    <mergeCell ref="E1:G1"/>
  </mergeCells>
  <conditionalFormatting sqref="D6:D16">
    <cfRule type="cellIs" dxfId="1" priority="2" operator="greaterThan">
      <formula>50000</formula>
    </cfRule>
  </conditionalFormatting>
  <conditionalFormatting sqref="D6:D16">
    <cfRule type="cellIs" dxfId="0" priority="1" operator="lessThanOrEqual">
      <formula>50000</formula>
    </cfRule>
  </conditionalFormatting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B113E11-FC82-4342-AA04-26C8AEF9C29C}">
  <dimension ref="B1:H17"/>
  <sheetViews>
    <sheetView zoomScale="188" workbookViewId="0">
      <selection activeCell="D1" sqref="D1:H1"/>
    </sheetView>
  </sheetViews>
  <sheetFormatPr defaultColWidth="10.625" defaultRowHeight="15.6"/>
  <cols>
    <col min="1" max="1" width="5.125" customWidth="1"/>
    <col min="2" max="2" width="9.875" customWidth="1"/>
    <col min="4" max="4" width="8.375" bestFit="1" customWidth="1"/>
    <col min="5" max="5" width="8.125" customWidth="1"/>
    <col min="7" max="7" width="12.625" customWidth="1"/>
  </cols>
  <sheetData>
    <row r="1" spans="2:8" ht="15.75">
      <c r="D1" s="57" t="s">
        <v>21</v>
      </c>
      <c r="E1" s="57"/>
      <c r="F1" s="57"/>
      <c r="G1" s="57"/>
      <c r="H1" s="57"/>
    </row>
    <row r="2" spans="2:8" ht="15.75">
      <c r="B2" s="14" t="s">
        <v>22</v>
      </c>
      <c r="C2" s="15"/>
      <c r="D2" s="15"/>
      <c r="E2" s="15"/>
      <c r="F2" s="15"/>
      <c r="G2" s="15"/>
      <c r="H2" s="15"/>
    </row>
    <row r="3" spans="2:8">
      <c r="B3" t="s">
        <v>23</v>
      </c>
      <c r="C3" s="12"/>
    </row>
    <row r="4" spans="2:8">
      <c r="B4" t="s">
        <v>24</v>
      </c>
      <c r="C4" s="12"/>
    </row>
    <row r="5" spans="2:8">
      <c r="C5" s="13"/>
    </row>
    <row r="6" spans="2:8">
      <c r="B6" s="3" t="s">
        <v>25</v>
      </c>
      <c r="C6" s="3" t="s">
        <v>4</v>
      </c>
      <c r="D6" s="3" t="s">
        <v>5</v>
      </c>
      <c r="E6" s="3" t="s">
        <v>26</v>
      </c>
      <c r="G6" s="16" t="s">
        <v>27</v>
      </c>
    </row>
    <row r="7" spans="2:8">
      <c r="B7" s="1" t="s">
        <v>6</v>
      </c>
      <c r="C7" s="1" t="s">
        <v>7</v>
      </c>
      <c r="D7" s="4">
        <v>50000</v>
      </c>
      <c r="E7" s="6" t="str">
        <f>IF(D7&gt;G$7,D7*G$10," ")</f>
        <v xml:space="preserve"> </v>
      </c>
      <c r="G7" s="4">
        <v>50000</v>
      </c>
    </row>
    <row r="8" spans="2:8">
      <c r="B8" s="1" t="s">
        <v>8</v>
      </c>
      <c r="C8" s="1" t="s">
        <v>9</v>
      </c>
      <c r="D8" s="4">
        <v>45000</v>
      </c>
      <c r="E8" s="6" t="str">
        <f t="shared" ref="E8:E17" si="0">IF(D8&gt;G$7,D8*G$10," ")</f>
        <v xml:space="preserve"> </v>
      </c>
    </row>
    <row r="9" spans="2:8">
      <c r="B9" s="1" t="s">
        <v>10</v>
      </c>
      <c r="C9" s="1" t="s">
        <v>9</v>
      </c>
      <c r="D9" s="4">
        <v>48500</v>
      </c>
      <c r="E9" s="6" t="str">
        <f t="shared" si="0"/>
        <v xml:space="preserve"> </v>
      </c>
      <c r="G9" s="16" t="s">
        <v>28</v>
      </c>
    </row>
    <row r="10" spans="2:8">
      <c r="B10" s="1" t="s">
        <v>11</v>
      </c>
      <c r="C10" s="1" t="s">
        <v>9</v>
      </c>
      <c r="D10" s="4">
        <v>55000</v>
      </c>
      <c r="E10" s="6">
        <f t="shared" si="0"/>
        <v>2750</v>
      </c>
      <c r="G10" s="5">
        <v>0.05</v>
      </c>
    </row>
    <row r="11" spans="2:8">
      <c r="B11" s="1" t="s">
        <v>12</v>
      </c>
      <c r="C11" s="1" t="s">
        <v>13</v>
      </c>
      <c r="D11" s="4">
        <v>62500</v>
      </c>
      <c r="E11" s="6">
        <f t="shared" si="0"/>
        <v>3125</v>
      </c>
    </row>
    <row r="12" spans="2:8">
      <c r="B12" s="1" t="s">
        <v>14</v>
      </c>
      <c r="C12" s="1" t="s">
        <v>13</v>
      </c>
      <c r="D12" s="4">
        <v>41500</v>
      </c>
      <c r="E12" s="6" t="str">
        <f t="shared" si="0"/>
        <v xml:space="preserve"> </v>
      </c>
    </row>
    <row r="13" spans="2:8">
      <c r="B13" s="1" t="s">
        <v>15</v>
      </c>
      <c r="C13" s="1" t="s">
        <v>16</v>
      </c>
      <c r="D13" s="4">
        <v>40000</v>
      </c>
      <c r="E13" s="6" t="str">
        <f t="shared" si="0"/>
        <v xml:space="preserve"> </v>
      </c>
    </row>
    <row r="14" spans="2:8">
      <c r="B14" s="1" t="s">
        <v>17</v>
      </c>
      <c r="C14" s="1" t="s">
        <v>16</v>
      </c>
      <c r="D14" s="4">
        <v>32500</v>
      </c>
      <c r="E14" s="6" t="str">
        <f t="shared" si="0"/>
        <v xml:space="preserve"> </v>
      </c>
    </row>
    <row r="15" spans="2:8">
      <c r="B15" s="1" t="s">
        <v>18</v>
      </c>
      <c r="C15" s="1" t="s">
        <v>16</v>
      </c>
      <c r="D15" s="4">
        <v>80000</v>
      </c>
      <c r="E15" s="6">
        <f t="shared" si="0"/>
        <v>4000</v>
      </c>
    </row>
    <row r="16" spans="2:8">
      <c r="B16" s="1" t="s">
        <v>19</v>
      </c>
      <c r="C16" s="1" t="s">
        <v>7</v>
      </c>
      <c r="D16" s="4">
        <v>64280</v>
      </c>
      <c r="E16" s="6">
        <f t="shared" si="0"/>
        <v>3214</v>
      </c>
    </row>
    <row r="17" spans="2:5">
      <c r="B17" s="1" t="s">
        <v>20</v>
      </c>
      <c r="C17" s="1" t="s">
        <v>7</v>
      </c>
      <c r="D17" s="4">
        <v>53250</v>
      </c>
      <c r="E17" s="6">
        <f t="shared" si="0"/>
        <v>2662.5</v>
      </c>
    </row>
  </sheetData>
  <mergeCells count="1">
    <mergeCell ref="D1:H1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71657FC-4C2B-9944-B3D0-2E68B02B7985}">
  <dimension ref="B1:H22"/>
  <sheetViews>
    <sheetView zoomScale="164" workbookViewId="0">
      <selection activeCell="C1" sqref="C1:G1"/>
    </sheetView>
  </sheetViews>
  <sheetFormatPr defaultColWidth="10.625" defaultRowHeight="15.6"/>
  <cols>
    <col min="1" max="1" width="5" customWidth="1"/>
    <col min="2" max="2" width="15.5" customWidth="1"/>
    <col min="3" max="3" width="19.375" bestFit="1" customWidth="1"/>
    <col min="4" max="4" width="8.375" customWidth="1"/>
    <col min="5" max="5" width="16.25" bestFit="1" customWidth="1"/>
    <col min="8" max="8" width="33.625" bestFit="1" customWidth="1"/>
  </cols>
  <sheetData>
    <row r="1" spans="2:8" ht="15.75">
      <c r="C1" s="57" t="s">
        <v>29</v>
      </c>
      <c r="D1" s="57"/>
      <c r="E1" s="57"/>
      <c r="F1" s="57"/>
      <c r="G1" s="57"/>
    </row>
    <row r="2" spans="2:8" ht="15.75">
      <c r="B2" s="14" t="s">
        <v>30</v>
      </c>
      <c r="C2" s="15"/>
      <c r="D2" s="15"/>
      <c r="E2" s="15"/>
      <c r="F2" s="15"/>
      <c r="G2" s="15"/>
    </row>
    <row r="3" spans="2:8">
      <c r="B3" t="s">
        <v>31</v>
      </c>
      <c r="H3" t="s">
        <v>32</v>
      </c>
    </row>
    <row r="4" spans="2:8">
      <c r="H4" t="s">
        <v>33</v>
      </c>
    </row>
    <row r="5" spans="2:8">
      <c r="B5" s="3" t="s">
        <v>34</v>
      </c>
      <c r="C5" s="3" t="s">
        <v>35</v>
      </c>
      <c r="E5" s="3" t="s">
        <v>4</v>
      </c>
      <c r="F5" s="3" t="s">
        <v>36</v>
      </c>
      <c r="H5" t="s">
        <v>37</v>
      </c>
    </row>
    <row r="6" spans="2:8">
      <c r="B6" t="s">
        <v>38</v>
      </c>
      <c r="C6" s="2" t="s">
        <v>39</v>
      </c>
      <c r="E6" s="7" t="str" cm="1">
        <f t="array" ref="E6:F6">_xlfn.TEXTSPLIT(C6,"_")</f>
        <v>Cloud Tech</v>
      </c>
      <c r="F6" s="7" t="str">
        <v>Texas</v>
      </c>
    </row>
    <row r="7" spans="2:8">
      <c r="B7" t="s">
        <v>40</v>
      </c>
      <c r="C7" s="2" t="s">
        <v>41</v>
      </c>
      <c r="E7" s="7" t="str" cm="1">
        <f t="array" ref="E7:F7">_xlfn.TEXTSPLIT(C7,"_")</f>
        <v>Strategy</v>
      </c>
      <c r="F7" s="7" t="str">
        <v>New York</v>
      </c>
    </row>
    <row r="8" spans="2:8">
      <c r="B8" t="s">
        <v>42</v>
      </c>
      <c r="C8" s="2" t="s">
        <v>41</v>
      </c>
      <c r="E8" s="7" t="str" cm="1">
        <f t="array" ref="E8:F8">_xlfn.TEXTSPLIT(C8,"_")</f>
        <v>Strategy</v>
      </c>
      <c r="F8" s="7" t="str">
        <v>New York</v>
      </c>
    </row>
    <row r="9" spans="2:8">
      <c r="B9" t="s">
        <v>43</v>
      </c>
      <c r="C9" s="2" t="s">
        <v>44</v>
      </c>
      <c r="E9" s="7" t="str" cm="1">
        <f t="array" ref="E9:F9">_xlfn.TEXTSPLIT(C9,"_")</f>
        <v>Operations</v>
      </c>
      <c r="F9" s="7" t="str">
        <v>Florida</v>
      </c>
    </row>
    <row r="10" spans="2:8">
      <c r="B10" t="s">
        <v>45</v>
      </c>
      <c r="C10" s="2" t="s">
        <v>44</v>
      </c>
      <c r="E10" s="7" t="str" cm="1">
        <f t="array" ref="E10:F10">_xlfn.TEXTSPLIT(C10,"_")</f>
        <v>Operations</v>
      </c>
      <c r="F10" s="7" t="str">
        <v>Florida</v>
      </c>
    </row>
    <row r="11" spans="2:8">
      <c r="B11" t="s">
        <v>46</v>
      </c>
      <c r="C11" s="2" t="s">
        <v>39</v>
      </c>
      <c r="E11" s="7" t="str" cm="1">
        <f t="array" ref="E11:F11">_xlfn.TEXTSPLIT(C11,"_")</f>
        <v>Cloud Tech</v>
      </c>
      <c r="F11" s="7" t="str">
        <v>Texas</v>
      </c>
    </row>
    <row r="12" spans="2:8">
      <c r="B12" t="s">
        <v>47</v>
      </c>
      <c r="C12" s="2" t="s">
        <v>39</v>
      </c>
      <c r="E12" s="7" t="str" cm="1">
        <f t="array" ref="E12:F12">_xlfn.TEXTSPLIT(C12,"_")</f>
        <v>Cloud Tech</v>
      </c>
      <c r="F12" s="7" t="str">
        <v>Texas</v>
      </c>
    </row>
    <row r="13" spans="2:8">
      <c r="B13" t="s">
        <v>48</v>
      </c>
      <c r="C13" s="2" t="s">
        <v>49</v>
      </c>
      <c r="E13" s="7" t="str" cm="1">
        <f t="array" ref="E13:F13">_xlfn.TEXTSPLIT(C13,"_")</f>
        <v>Finance</v>
      </c>
      <c r="F13" s="7" t="str">
        <v>Chicago</v>
      </c>
    </row>
    <row r="14" spans="2:8">
      <c r="B14" t="s">
        <v>50</v>
      </c>
      <c r="C14" s="2" t="s">
        <v>49</v>
      </c>
      <c r="E14" s="7" t="str" cm="1">
        <f t="array" ref="E14:F14">_xlfn.TEXTSPLIT(C14,"_")</f>
        <v>Finance</v>
      </c>
      <c r="F14" s="7" t="str">
        <v>Chicago</v>
      </c>
    </row>
    <row r="15" spans="2:8">
      <c r="B15" t="s">
        <v>51</v>
      </c>
      <c r="C15" s="2" t="s">
        <v>52</v>
      </c>
      <c r="E15" s="7" t="str" cm="1">
        <f t="array" ref="E15:F15">_xlfn.TEXTSPLIT(C15,"_")</f>
        <v>Finance</v>
      </c>
      <c r="F15" s="7" t="str">
        <v>Texas</v>
      </c>
    </row>
    <row r="16" spans="2:8">
      <c r="B16" t="s">
        <v>53</v>
      </c>
      <c r="C16" s="2" t="s">
        <v>39</v>
      </c>
      <c r="E16" s="7" t="str" cm="1">
        <f t="array" ref="E16:F16">_xlfn.TEXTSPLIT(C16,"_")</f>
        <v>Cloud Tech</v>
      </c>
      <c r="F16" s="7" t="str">
        <v>Texas</v>
      </c>
    </row>
    <row r="17" spans="2:6">
      <c r="B17" t="s">
        <v>54</v>
      </c>
      <c r="C17" s="2" t="s">
        <v>44</v>
      </c>
      <c r="E17" s="7" t="str" cm="1">
        <f t="array" ref="E17:F17">_xlfn.TEXTSPLIT(C17,"_")</f>
        <v>Operations</v>
      </c>
      <c r="F17" s="7" t="str">
        <v>Florida</v>
      </c>
    </row>
    <row r="18" spans="2:6">
      <c r="B18" t="s">
        <v>55</v>
      </c>
      <c r="C18" s="2" t="s">
        <v>56</v>
      </c>
      <c r="E18" s="7" t="str" cm="1">
        <f t="array" ref="E18:F18">_xlfn.TEXTSPLIT(C18,"_")</f>
        <v>Big Data</v>
      </c>
      <c r="F18" s="7" t="str">
        <v>California</v>
      </c>
    </row>
    <row r="19" spans="2:6">
      <c r="B19" t="s">
        <v>57</v>
      </c>
      <c r="C19" s="2" t="s">
        <v>56</v>
      </c>
      <c r="E19" s="7" t="str" cm="1">
        <f t="array" ref="E19:F19">_xlfn.TEXTSPLIT(C19,"_")</f>
        <v>Big Data</v>
      </c>
      <c r="F19" s="7" t="str">
        <v>California</v>
      </c>
    </row>
    <row r="20" spans="2:6">
      <c r="B20" t="s">
        <v>58</v>
      </c>
      <c r="C20" s="2" t="s">
        <v>49</v>
      </c>
      <c r="E20" s="7" t="str" cm="1">
        <f t="array" ref="E20:F20">_xlfn.TEXTSPLIT(C20,"_")</f>
        <v>Finance</v>
      </c>
      <c r="F20" s="7" t="str">
        <v>Chicago</v>
      </c>
    </row>
    <row r="21" spans="2:6">
      <c r="B21" t="s">
        <v>59</v>
      </c>
      <c r="C21" s="2" t="s">
        <v>56</v>
      </c>
      <c r="E21" s="7" t="str" cm="1">
        <f t="array" ref="E21:F21">_xlfn.TEXTSPLIT(C21,"_")</f>
        <v>Big Data</v>
      </c>
      <c r="F21" s="7" t="str">
        <v>California</v>
      </c>
    </row>
    <row r="22" spans="2:6">
      <c r="B22" t="s">
        <v>60</v>
      </c>
      <c r="C22" s="2" t="s">
        <v>44</v>
      </c>
      <c r="E22" s="7" t="str" cm="1">
        <f t="array" ref="E22:F22">_xlfn.TEXTSPLIT(C22,"_")</f>
        <v>Operations</v>
      </c>
      <c r="F22" s="7" t="str">
        <v>Florida</v>
      </c>
    </row>
  </sheetData>
  <mergeCells count="1">
    <mergeCell ref="C1:G1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160C3FD-BF7B-7A48-BD28-71020DA32613}">
  <dimension ref="A1:L34"/>
  <sheetViews>
    <sheetView zoomScale="150" workbookViewId="0">
      <selection activeCell="D1" sqref="D1:G1"/>
    </sheetView>
  </sheetViews>
  <sheetFormatPr defaultColWidth="10.625" defaultRowHeight="15.6"/>
  <cols>
    <col min="1" max="1" width="5.5" customWidth="1"/>
    <col min="2" max="3" width="8.875" customWidth="1"/>
    <col min="4" max="4" width="9.375" customWidth="1"/>
    <col min="5" max="5" width="9.5" customWidth="1"/>
    <col min="7" max="7" width="13" bestFit="1" customWidth="1"/>
    <col min="8" max="8" width="10.5" customWidth="1"/>
    <col min="9" max="9" width="14.25" bestFit="1" customWidth="1"/>
    <col min="10" max="10" width="14.875" bestFit="1" customWidth="1"/>
    <col min="12" max="12" width="10.5" bestFit="1" customWidth="1"/>
    <col min="13" max="13" width="16.75" bestFit="1" customWidth="1"/>
  </cols>
  <sheetData>
    <row r="1" spans="2:12" ht="15.75">
      <c r="D1" s="57" t="s">
        <v>61</v>
      </c>
      <c r="E1" s="57"/>
      <c r="F1" s="57"/>
      <c r="G1" s="57"/>
      <c r="L1" s="55" t="s">
        <v>62</v>
      </c>
    </row>
    <row r="2" spans="2:12" ht="15.75">
      <c r="B2" s="14" t="s">
        <v>63</v>
      </c>
      <c r="C2" s="15"/>
      <c r="D2" s="15"/>
      <c r="E2" s="15"/>
      <c r="F2" s="15"/>
      <c r="G2" s="15"/>
      <c r="H2" s="15"/>
    </row>
    <row r="3" spans="2:12">
      <c r="B3" t="s">
        <v>64</v>
      </c>
    </row>
    <row r="5" spans="2:12">
      <c r="B5" s="11" t="s">
        <v>65</v>
      </c>
      <c r="C5" s="11" t="s">
        <v>66</v>
      </c>
      <c r="D5" s="11" t="s">
        <v>5</v>
      </c>
      <c r="E5" s="11" t="s">
        <v>67</v>
      </c>
    </row>
    <row r="6" spans="2:12">
      <c r="B6" s="8">
        <v>1185</v>
      </c>
      <c r="C6" s="9" t="s">
        <v>68</v>
      </c>
      <c r="D6" s="10">
        <v>60000</v>
      </c>
      <c r="E6" s="10">
        <v>39000</v>
      </c>
      <c r="H6" s="17" t="s">
        <v>66</v>
      </c>
      <c r="I6" t="s">
        <v>69</v>
      </c>
      <c r="J6" t="s">
        <v>70</v>
      </c>
    </row>
    <row r="7" spans="2:12">
      <c r="B7" s="8">
        <v>1186</v>
      </c>
      <c r="C7" s="9" t="s">
        <v>71</v>
      </c>
      <c r="D7" s="10">
        <v>50000</v>
      </c>
      <c r="E7" s="10">
        <v>30000</v>
      </c>
      <c r="H7" t="s">
        <v>68</v>
      </c>
      <c r="I7" s="18">
        <v>316700</v>
      </c>
      <c r="J7" s="18">
        <v>32310</v>
      </c>
    </row>
    <row r="8" spans="2:12">
      <c r="B8" s="8">
        <v>1187</v>
      </c>
      <c r="C8" s="9" t="s">
        <v>72</v>
      </c>
      <c r="D8" s="10">
        <v>40000</v>
      </c>
      <c r="E8" s="10">
        <v>18000</v>
      </c>
      <c r="H8" t="s">
        <v>72</v>
      </c>
      <c r="I8" s="18">
        <v>197000</v>
      </c>
      <c r="J8" s="18">
        <v>20140</v>
      </c>
    </row>
    <row r="9" spans="2:12">
      <c r="B9" s="8">
        <v>1188</v>
      </c>
      <c r="C9" s="9" t="s">
        <v>73</v>
      </c>
      <c r="D9" s="10">
        <v>38250</v>
      </c>
      <c r="E9" s="10">
        <v>13387.5</v>
      </c>
      <c r="H9" t="s">
        <v>74</v>
      </c>
      <c r="I9" s="18">
        <v>208500</v>
      </c>
      <c r="J9" s="18">
        <v>28743.75</v>
      </c>
    </row>
    <row r="10" spans="2:12">
      <c r="B10" s="8">
        <v>1189</v>
      </c>
      <c r="C10" s="9" t="s">
        <v>74</v>
      </c>
      <c r="D10" s="10">
        <v>54000</v>
      </c>
      <c r="E10" s="10">
        <v>27000</v>
      </c>
      <c r="H10" t="s">
        <v>71</v>
      </c>
      <c r="I10" s="18">
        <v>237125</v>
      </c>
      <c r="J10" s="18">
        <v>24401.25</v>
      </c>
    </row>
    <row r="11" spans="2:12">
      <c r="B11" s="8">
        <v>1190</v>
      </c>
      <c r="C11" s="9" t="s">
        <v>75</v>
      </c>
      <c r="D11" s="10">
        <v>50000</v>
      </c>
      <c r="E11" s="10">
        <v>32500</v>
      </c>
      <c r="H11" t="s">
        <v>73</v>
      </c>
      <c r="I11" s="18">
        <v>191000</v>
      </c>
      <c r="J11" s="18">
        <v>19350</v>
      </c>
    </row>
    <row r="12" spans="2:12">
      <c r="B12" s="8">
        <v>1191</v>
      </c>
      <c r="C12" s="9" t="s">
        <v>68</v>
      </c>
      <c r="D12" s="10">
        <v>62500</v>
      </c>
      <c r="E12" s="10">
        <v>37500</v>
      </c>
      <c r="H12" t="s">
        <v>75</v>
      </c>
      <c r="I12" s="18">
        <v>195000</v>
      </c>
      <c r="J12" s="18">
        <v>25125</v>
      </c>
    </row>
    <row r="13" spans="2:12">
      <c r="B13" s="8">
        <v>1192</v>
      </c>
      <c r="C13" s="9" t="s">
        <v>71</v>
      </c>
      <c r="D13" s="10">
        <v>45000</v>
      </c>
      <c r="E13" s="10">
        <v>20249.999999999996</v>
      </c>
      <c r="H13" t="s">
        <v>76</v>
      </c>
      <c r="I13" s="18">
        <v>1345325</v>
      </c>
      <c r="J13" s="18">
        <v>24874.330357142859</v>
      </c>
    </row>
    <row r="14" spans="2:12">
      <c r="B14" s="8">
        <v>1193</v>
      </c>
      <c r="C14" s="9" t="s">
        <v>72</v>
      </c>
      <c r="D14" s="10">
        <v>38000</v>
      </c>
      <c r="E14" s="10">
        <v>13300</v>
      </c>
    </row>
    <row r="15" spans="2:12">
      <c r="B15" s="8">
        <v>1194</v>
      </c>
      <c r="C15" s="9" t="s">
        <v>73</v>
      </c>
      <c r="D15" s="10">
        <v>37125</v>
      </c>
      <c r="E15" s="10">
        <v>18562.5</v>
      </c>
    </row>
    <row r="16" spans="2:12">
      <c r="B16" s="8">
        <v>1195</v>
      </c>
      <c r="C16" s="9" t="s">
        <v>74</v>
      </c>
      <c r="D16" s="10">
        <v>54000</v>
      </c>
      <c r="E16" s="10">
        <v>35100</v>
      </c>
    </row>
    <row r="17" spans="2:5">
      <c r="B17" s="8">
        <v>1196</v>
      </c>
      <c r="C17" s="9" t="s">
        <v>75</v>
      </c>
      <c r="D17" s="10">
        <v>50000</v>
      </c>
      <c r="E17" s="10">
        <v>30000</v>
      </c>
    </row>
    <row r="18" spans="2:5">
      <c r="B18" s="8">
        <v>1197</v>
      </c>
      <c r="C18" s="9" t="s">
        <v>68</v>
      </c>
      <c r="D18" s="10">
        <v>61000</v>
      </c>
      <c r="E18" s="10">
        <v>27450</v>
      </c>
    </row>
    <row r="19" spans="2:5">
      <c r="B19" s="8">
        <v>1198</v>
      </c>
      <c r="C19" s="9" t="s">
        <v>71</v>
      </c>
      <c r="D19" s="10">
        <v>46250</v>
      </c>
      <c r="E19" s="10">
        <v>16187.5</v>
      </c>
    </row>
    <row r="20" spans="2:5">
      <c r="B20" s="8">
        <v>1199</v>
      </c>
      <c r="C20" s="9" t="s">
        <v>72</v>
      </c>
      <c r="D20" s="10">
        <v>38000</v>
      </c>
      <c r="E20" s="10">
        <v>19000</v>
      </c>
    </row>
    <row r="21" spans="2:5">
      <c r="B21" s="8">
        <v>1200</v>
      </c>
      <c r="C21" s="9" t="s">
        <v>73</v>
      </c>
      <c r="D21" s="10">
        <v>36000</v>
      </c>
      <c r="E21" s="10">
        <v>23400</v>
      </c>
    </row>
    <row r="22" spans="2:5">
      <c r="B22" s="8">
        <v>1201</v>
      </c>
      <c r="C22" s="9" t="s">
        <v>74</v>
      </c>
      <c r="D22" s="10">
        <v>51000</v>
      </c>
      <c r="E22" s="10">
        <v>30600</v>
      </c>
    </row>
    <row r="23" spans="2:5">
      <c r="B23" s="8">
        <v>1202</v>
      </c>
      <c r="C23" s="9" t="s">
        <v>75</v>
      </c>
      <c r="D23" s="10">
        <v>47500</v>
      </c>
      <c r="E23" s="10">
        <v>21374.999999999996</v>
      </c>
    </row>
    <row r="24" spans="2:5">
      <c r="B24" s="8">
        <v>1203</v>
      </c>
      <c r="C24" s="9" t="s">
        <v>68</v>
      </c>
      <c r="D24" s="10">
        <v>60000</v>
      </c>
      <c r="E24" s="10">
        <v>21000</v>
      </c>
    </row>
    <row r="25" spans="2:5">
      <c r="B25" s="8">
        <v>1204</v>
      </c>
      <c r="C25" s="9" t="s">
        <v>71</v>
      </c>
      <c r="D25" s="10">
        <v>45000</v>
      </c>
      <c r="E25" s="10">
        <v>22500</v>
      </c>
    </row>
    <row r="26" spans="2:5">
      <c r="B26" s="8">
        <v>1205</v>
      </c>
      <c r="C26" s="9" t="s">
        <v>72</v>
      </c>
      <c r="D26" s="10">
        <v>36000</v>
      </c>
      <c r="E26" s="10">
        <v>23400</v>
      </c>
    </row>
    <row r="27" spans="2:5">
      <c r="B27" s="8">
        <v>1206</v>
      </c>
      <c r="C27" s="9" t="s">
        <v>73</v>
      </c>
      <c r="D27" s="10">
        <v>37125</v>
      </c>
      <c r="E27" s="10">
        <v>22275</v>
      </c>
    </row>
    <row r="28" spans="2:5">
      <c r="B28" s="8">
        <v>1207</v>
      </c>
      <c r="C28" s="9" t="s">
        <v>74</v>
      </c>
      <c r="D28" s="10">
        <v>49500</v>
      </c>
      <c r="E28" s="10">
        <v>22274.999999999996</v>
      </c>
    </row>
    <row r="29" spans="2:5">
      <c r="B29" s="8">
        <v>1208</v>
      </c>
      <c r="C29" s="9" t="s">
        <v>75</v>
      </c>
      <c r="D29" s="10">
        <v>47500</v>
      </c>
      <c r="E29" s="10">
        <v>16625</v>
      </c>
    </row>
    <row r="30" spans="2:5">
      <c r="B30" s="8">
        <v>1209</v>
      </c>
      <c r="C30" s="9" t="s">
        <v>68</v>
      </c>
      <c r="D30" s="10">
        <v>73200</v>
      </c>
      <c r="E30" s="10">
        <v>36600</v>
      </c>
    </row>
    <row r="31" spans="2:5">
      <c r="B31" s="8">
        <v>1210</v>
      </c>
      <c r="C31" s="9" t="s">
        <v>71</v>
      </c>
      <c r="D31" s="10">
        <v>50875.000000000007</v>
      </c>
      <c r="E31" s="10">
        <v>33068.750000000007</v>
      </c>
    </row>
    <row r="32" spans="2:5">
      <c r="B32" s="8">
        <v>1211</v>
      </c>
      <c r="C32" s="9" t="s">
        <v>72</v>
      </c>
      <c r="D32" s="10">
        <v>45000</v>
      </c>
      <c r="E32" s="10">
        <v>27000</v>
      </c>
    </row>
    <row r="33" spans="1:5">
      <c r="B33" s="8">
        <v>1212</v>
      </c>
      <c r="C33" s="9" t="s">
        <v>73</v>
      </c>
      <c r="D33" s="10">
        <v>42500</v>
      </c>
      <c r="E33" s="10">
        <v>19124.999999999996</v>
      </c>
    </row>
    <row r="34" spans="1:5">
      <c r="A34" s="8"/>
    </row>
  </sheetData>
  <mergeCells count="1">
    <mergeCell ref="D1:G1"/>
  </mergeCells>
  <pageMargins left="0.7" right="0.7" top="0.75" bottom="0.75" header="0.3" footer="0.3"/>
  <drawing r:id="rId2"/>
  <extLst>
    <ext xmlns:x14="http://schemas.microsoft.com/office/spreadsheetml/2009/9/main" uri="{A8765BA9-456A-4dab-B4F3-ACF838C121DE}">
      <x14:slicerList>
        <x14:slicer r:id="rId3"/>
      </x14:slicerList>
    </ext>
  </extLst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4D0A1B1-F538-0942-8237-F9CB0FF003AE}">
  <dimension ref="B1:F16"/>
  <sheetViews>
    <sheetView zoomScale="150" workbookViewId="0">
      <selection activeCell="C1" sqref="C1:E1"/>
    </sheetView>
  </sheetViews>
  <sheetFormatPr defaultColWidth="10.625" defaultRowHeight="15.6"/>
  <cols>
    <col min="1" max="1" width="5.375" customWidth="1"/>
    <col min="5" max="5" width="23.5" customWidth="1"/>
  </cols>
  <sheetData>
    <row r="1" spans="2:6" ht="16.5" customHeight="1">
      <c r="C1" s="58" t="s">
        <v>77</v>
      </c>
      <c r="D1" s="58"/>
      <c r="E1" s="58"/>
    </row>
    <row r="2" spans="2:6" ht="15.75">
      <c r="B2" s="14" t="s">
        <v>78</v>
      </c>
      <c r="C2" s="15"/>
      <c r="D2" s="15"/>
      <c r="E2" s="15"/>
      <c r="F2" s="15"/>
    </row>
    <row r="3" spans="2:6">
      <c r="B3" t="s">
        <v>79</v>
      </c>
    </row>
    <row r="5" spans="2:6">
      <c r="B5" s="3" t="s">
        <v>3</v>
      </c>
      <c r="C5" s="3" t="s">
        <v>4</v>
      </c>
      <c r="D5" s="3" t="s">
        <v>5</v>
      </c>
      <c r="F5" s="3" t="s">
        <v>80</v>
      </c>
    </row>
    <row r="6" spans="2:6">
      <c r="B6" s="1" t="s">
        <v>6</v>
      </c>
      <c r="C6" s="1" t="s">
        <v>7</v>
      </c>
      <c r="D6" s="4">
        <v>50000</v>
      </c>
      <c r="F6" s="2" t="s">
        <v>10</v>
      </c>
    </row>
    <row r="7" spans="2:6">
      <c r="B7" s="1" t="s">
        <v>8</v>
      </c>
      <c r="C7" s="1" t="s">
        <v>9</v>
      </c>
      <c r="D7" s="4">
        <v>45000</v>
      </c>
      <c r="F7" s="6">
        <f>_xlfn.XLOOKUP(F6,B6:B16,D6:D16)</f>
        <v>48500</v>
      </c>
    </row>
    <row r="8" spans="2:6">
      <c r="B8" s="1" t="s">
        <v>10</v>
      </c>
      <c r="C8" s="1" t="s">
        <v>9</v>
      </c>
      <c r="D8" s="4">
        <v>48500</v>
      </c>
    </row>
    <row r="9" spans="2:6">
      <c r="B9" s="1" t="s">
        <v>11</v>
      </c>
      <c r="C9" s="1" t="s">
        <v>9</v>
      </c>
      <c r="D9" s="4">
        <v>55000</v>
      </c>
      <c r="F9" s="3" t="s">
        <v>81</v>
      </c>
    </row>
    <row r="10" spans="2:6">
      <c r="B10" s="1" t="s">
        <v>12</v>
      </c>
      <c r="C10" s="1" t="s">
        <v>13</v>
      </c>
      <c r="D10" s="4">
        <v>62500</v>
      </c>
      <c r="F10" s="2" t="s">
        <v>10</v>
      </c>
    </row>
    <row r="11" spans="2:6">
      <c r="B11" s="1" t="s">
        <v>14</v>
      </c>
      <c r="C11" s="1" t="s">
        <v>13</v>
      </c>
      <c r="D11" s="4">
        <v>41500</v>
      </c>
      <c r="F11" s="6">
        <f>INDEX(D6:D16, MATCH(F10,B6:B16,0))</f>
        <v>48500</v>
      </c>
    </row>
    <row r="12" spans="2:6">
      <c r="B12" s="1" t="s">
        <v>15</v>
      </c>
      <c r="C12" s="1" t="s">
        <v>16</v>
      </c>
      <c r="D12" s="4">
        <v>40000</v>
      </c>
    </row>
    <row r="13" spans="2:6">
      <c r="B13" s="1" t="s">
        <v>17</v>
      </c>
      <c r="C13" s="1" t="s">
        <v>16</v>
      </c>
      <c r="D13" s="4">
        <v>32500</v>
      </c>
    </row>
    <row r="14" spans="2:6">
      <c r="B14" s="1" t="s">
        <v>18</v>
      </c>
      <c r="C14" s="1" t="s">
        <v>16</v>
      </c>
      <c r="D14" s="4">
        <v>80000</v>
      </c>
    </row>
    <row r="15" spans="2:6">
      <c r="B15" s="1" t="s">
        <v>19</v>
      </c>
      <c r="C15" s="1" t="s">
        <v>7</v>
      </c>
      <c r="D15" s="4">
        <v>64280</v>
      </c>
    </row>
    <row r="16" spans="2:6">
      <c r="B16" s="1" t="s">
        <v>20</v>
      </c>
      <c r="C16" s="1" t="s">
        <v>7</v>
      </c>
      <c r="D16" s="4">
        <v>53250</v>
      </c>
    </row>
  </sheetData>
  <mergeCells count="1">
    <mergeCell ref="C1:E1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4C92765-FC54-E242-A484-F5F8BC440453}">
  <dimension ref="B1:G16"/>
  <sheetViews>
    <sheetView zoomScale="160" zoomScaleNormal="160" workbookViewId="0">
      <selection activeCell="C1" sqref="C1:E1"/>
    </sheetView>
  </sheetViews>
  <sheetFormatPr defaultColWidth="10.625" defaultRowHeight="15.6"/>
  <cols>
    <col min="3" max="3" width="42.875" customWidth="1"/>
    <col min="4" max="4" width="30.25" bestFit="1" customWidth="1"/>
    <col min="6" max="6" width="36" bestFit="1" customWidth="1"/>
    <col min="7" max="7" width="22.125" bestFit="1" customWidth="1"/>
  </cols>
  <sheetData>
    <row r="1" spans="2:7" ht="15.75">
      <c r="C1" s="57" t="s">
        <v>82</v>
      </c>
      <c r="D1" s="57"/>
      <c r="E1" s="57"/>
    </row>
    <row r="2" spans="2:7" ht="15.75">
      <c r="B2" s="14" t="s">
        <v>83</v>
      </c>
      <c r="C2" s="15"/>
    </row>
    <row r="3" spans="2:7">
      <c r="B3" t="s">
        <v>84</v>
      </c>
      <c r="F3" t="s">
        <v>85</v>
      </c>
    </row>
    <row r="4" spans="2:7" ht="48.75">
      <c r="F4" s="19" t="s">
        <v>86</v>
      </c>
      <c r="G4" s="20" t="s">
        <v>87</v>
      </c>
    </row>
    <row r="5" spans="2:7">
      <c r="B5" s="3" t="s">
        <v>34</v>
      </c>
      <c r="C5" s="3" t="s">
        <v>88</v>
      </c>
    </row>
    <row r="6" spans="2:7">
      <c r="B6" s="1" t="s">
        <v>6</v>
      </c>
      <c r="C6" t="s">
        <v>89</v>
      </c>
      <c r="D6" t="str">
        <f>_xlfn.TEXTBEFORE(C6," (")</f>
        <v>AMAZON.COM, INC.</v>
      </c>
    </row>
    <row r="7" spans="2:7">
      <c r="B7" s="1" t="s">
        <v>8</v>
      </c>
      <c r="C7" t="s">
        <v>90</v>
      </c>
      <c r="D7" t="str">
        <f t="shared" ref="D7:D16" si="0">_xlfn.TEXTBEFORE(C7," (")</f>
        <v>TESLA, INC.</v>
      </c>
    </row>
    <row r="8" spans="2:7">
      <c r="B8" s="1" t="s">
        <v>10</v>
      </c>
      <c r="C8" t="s">
        <v>91</v>
      </c>
      <c r="D8" t="str">
        <f t="shared" si="0"/>
        <v>NETFLIX, INC.</v>
      </c>
    </row>
    <row r="9" spans="2:7">
      <c r="B9" s="1" t="s">
        <v>11</v>
      </c>
      <c r="C9" t="s">
        <v>92</v>
      </c>
      <c r="D9" t="str">
        <f t="shared" si="0"/>
        <v>THE PROCTER &amp; GAMBLE COMPANY</v>
      </c>
    </row>
    <row r="10" spans="2:7">
      <c r="B10" s="1" t="s">
        <v>12</v>
      </c>
      <c r="C10" t="s">
        <v>93</v>
      </c>
      <c r="D10" t="str">
        <f t="shared" si="0"/>
        <v>THE GOLDMAN SACHS GROUP, INC.</v>
      </c>
    </row>
    <row r="11" spans="2:7">
      <c r="B11" s="1" t="s">
        <v>14</v>
      </c>
      <c r="C11" t="s">
        <v>94</v>
      </c>
      <c r="D11" t="str">
        <f t="shared" si="0"/>
        <v>JPMORGAN CHASE &amp; CO.</v>
      </c>
      <c r="F11">
        <v>6</v>
      </c>
    </row>
    <row r="12" spans="2:7">
      <c r="B12" s="1" t="s">
        <v>15</v>
      </c>
      <c r="C12" t="s">
        <v>95</v>
      </c>
      <c r="D12" t="str">
        <f t="shared" si="0"/>
        <v>MORGAN STANLEY</v>
      </c>
    </row>
    <row r="13" spans="2:7">
      <c r="B13" s="1" t="s">
        <v>17</v>
      </c>
      <c r="C13" t="s">
        <v>96</v>
      </c>
      <c r="D13" t="str">
        <f t="shared" si="0"/>
        <v>CITIGROUP INC.</v>
      </c>
    </row>
    <row r="14" spans="2:7">
      <c r="B14" s="1" t="s">
        <v>18</v>
      </c>
      <c r="C14" t="s">
        <v>97</v>
      </c>
      <c r="D14" t="str">
        <f t="shared" si="0"/>
        <v>BANK OF AMERICA CORPORATION</v>
      </c>
    </row>
    <row r="15" spans="2:7">
      <c r="B15" s="1" t="s">
        <v>19</v>
      </c>
      <c r="C15" t="s">
        <v>98</v>
      </c>
      <c r="D15" t="str">
        <f t="shared" si="0"/>
        <v>WALMART INC.</v>
      </c>
    </row>
    <row r="16" spans="2:7">
      <c r="B16" s="1" t="s">
        <v>20</v>
      </c>
      <c r="C16" t="s">
        <v>99</v>
      </c>
      <c r="D16" t="str">
        <f t="shared" si="0"/>
        <v>TARGET CORPORATION</v>
      </c>
    </row>
  </sheetData>
  <mergeCells count="1">
    <mergeCell ref="C1:E1"/>
  </mergeCell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E0AAECB-F576-41FC-8810-3A77260EE753}">
  <dimension ref="B1:G22"/>
  <sheetViews>
    <sheetView zoomScale="120" zoomScaleNormal="120" workbookViewId="0">
      <selection activeCell="D1" sqref="D1:G1"/>
    </sheetView>
  </sheetViews>
  <sheetFormatPr defaultColWidth="11.125" defaultRowHeight="15.75"/>
  <cols>
    <col min="1" max="1" width="4.875" customWidth="1"/>
    <col min="2" max="2" width="9"/>
    <col min="3" max="3" width="9.875" customWidth="1"/>
    <col min="4" max="4" width="6.375" bestFit="1" customWidth="1"/>
    <col min="5" max="5" width="7.375" customWidth="1"/>
  </cols>
  <sheetData>
    <row r="1" spans="2:7">
      <c r="D1" s="57" t="s">
        <v>100</v>
      </c>
      <c r="E1" s="57"/>
      <c r="F1" s="57"/>
      <c r="G1" s="57"/>
    </row>
    <row r="2" spans="2:7">
      <c r="B2" s="21" t="s">
        <v>1</v>
      </c>
      <c r="C2" s="22"/>
      <c r="D2" s="22"/>
      <c r="E2" s="22"/>
      <c r="F2" s="22"/>
    </row>
    <row r="3" spans="2:7">
      <c r="B3" s="23" t="s">
        <v>101</v>
      </c>
    </row>
    <row r="5" spans="2:7">
      <c r="B5" s="24" t="s">
        <v>3</v>
      </c>
      <c r="C5" s="24" t="s">
        <v>102</v>
      </c>
      <c r="D5" s="24" t="s">
        <v>9</v>
      </c>
      <c r="F5" s="24" t="s">
        <v>103</v>
      </c>
    </row>
    <row r="6" spans="2:7">
      <c r="B6" t="s">
        <v>104</v>
      </c>
      <c r="C6" t="s">
        <v>16</v>
      </c>
      <c r="D6" s="4">
        <v>13201</v>
      </c>
      <c r="F6" s="4">
        <f>COUNTIF(D6:D22,"&gt;10000")</f>
        <v>12</v>
      </c>
    </row>
    <row r="7" spans="2:7">
      <c r="B7" t="s">
        <v>105</v>
      </c>
      <c r="C7" t="s">
        <v>106</v>
      </c>
      <c r="D7" s="4">
        <v>14703</v>
      </c>
    </row>
    <row r="8" spans="2:7">
      <c r="B8" t="s">
        <v>107</v>
      </c>
      <c r="C8" t="s">
        <v>16</v>
      </c>
      <c r="D8" s="4">
        <v>13271</v>
      </c>
    </row>
    <row r="9" spans="2:7">
      <c r="B9" t="s">
        <v>108</v>
      </c>
      <c r="C9" t="s">
        <v>16</v>
      </c>
      <c r="D9" s="4">
        <v>9925</v>
      </c>
    </row>
    <row r="10" spans="2:7">
      <c r="B10" t="s">
        <v>109</v>
      </c>
      <c r="C10" t="s">
        <v>16</v>
      </c>
      <c r="D10" s="4">
        <v>10001</v>
      </c>
    </row>
    <row r="11" spans="2:7">
      <c r="B11" t="s">
        <v>110</v>
      </c>
      <c r="C11" t="s">
        <v>106</v>
      </c>
      <c r="D11" s="4">
        <v>12539</v>
      </c>
    </row>
    <row r="12" spans="2:7">
      <c r="B12" t="s">
        <v>111</v>
      </c>
      <c r="C12" t="s">
        <v>106</v>
      </c>
      <c r="D12" s="4">
        <v>15689</v>
      </c>
    </row>
    <row r="13" spans="2:7">
      <c r="B13" t="s">
        <v>112</v>
      </c>
      <c r="C13" t="s">
        <v>16</v>
      </c>
      <c r="D13" s="4">
        <v>12579</v>
      </c>
    </row>
    <row r="14" spans="2:7">
      <c r="B14" t="s">
        <v>113</v>
      </c>
      <c r="C14" t="s">
        <v>106</v>
      </c>
      <c r="D14" s="4">
        <v>10711</v>
      </c>
    </row>
    <row r="15" spans="2:7">
      <c r="B15" t="s">
        <v>114</v>
      </c>
      <c r="C15" t="s">
        <v>16</v>
      </c>
      <c r="D15" s="4">
        <v>10904</v>
      </c>
    </row>
    <row r="16" spans="2:7">
      <c r="B16" t="s">
        <v>115</v>
      </c>
      <c r="C16" t="s">
        <v>16</v>
      </c>
      <c r="D16" s="4">
        <v>7642</v>
      </c>
    </row>
    <row r="17" spans="2:4">
      <c r="B17" t="s">
        <v>116</v>
      </c>
      <c r="C17" t="s">
        <v>16</v>
      </c>
      <c r="D17" s="4">
        <v>13372</v>
      </c>
    </row>
    <row r="18" spans="2:4">
      <c r="B18" t="s">
        <v>117</v>
      </c>
      <c r="C18" t="s">
        <v>106</v>
      </c>
      <c r="D18" s="4">
        <v>12332</v>
      </c>
    </row>
    <row r="19" spans="2:4">
      <c r="B19" t="s">
        <v>118</v>
      </c>
      <c r="C19" t="s">
        <v>119</v>
      </c>
      <c r="D19" s="4">
        <v>8101</v>
      </c>
    </row>
    <row r="20" spans="2:4">
      <c r="B20" t="s">
        <v>120</v>
      </c>
      <c r="C20" t="s">
        <v>16</v>
      </c>
      <c r="D20" s="4">
        <v>10647</v>
      </c>
    </row>
    <row r="21" spans="2:4">
      <c r="B21" t="s">
        <v>121</v>
      </c>
      <c r="C21" t="s">
        <v>16</v>
      </c>
      <c r="D21" s="4">
        <v>9751</v>
      </c>
    </row>
    <row r="22" spans="2:4">
      <c r="B22" t="s">
        <v>122</v>
      </c>
      <c r="C22" t="s">
        <v>16</v>
      </c>
      <c r="D22" s="4">
        <v>8633</v>
      </c>
    </row>
  </sheetData>
  <mergeCells count="1">
    <mergeCell ref="D1:G1"/>
  </mergeCells>
  <pageMargins left="0.7" right="0.7" top="0.75" bottom="0.75" header="0.3" footer="0.3"/>
  <pageSetup paperSize="9" orientation="portrait" horizontalDpi="0" verticalDpi="0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83FD68A-807B-406A-900F-5B7689D1AAE8}">
  <dimension ref="B1:H102"/>
  <sheetViews>
    <sheetView zoomScale="120" zoomScaleNormal="120" workbookViewId="0">
      <selection activeCell="D1" sqref="D1:H1"/>
    </sheetView>
  </sheetViews>
  <sheetFormatPr defaultColWidth="11.125" defaultRowHeight="15.75"/>
  <cols>
    <col min="1" max="1" width="4.875" customWidth="1"/>
    <col min="2" max="3" width="6.375" customWidth="1"/>
    <col min="4" max="5" width="9"/>
    <col min="6" max="6" width="9.875" bestFit="1" customWidth="1"/>
    <col min="7" max="7" width="6.625" customWidth="1"/>
  </cols>
  <sheetData>
    <row r="1" spans="2:8">
      <c r="D1" s="57" t="s">
        <v>123</v>
      </c>
      <c r="E1" s="57"/>
      <c r="F1" s="57"/>
      <c r="G1" s="57"/>
      <c r="H1" s="57"/>
    </row>
    <row r="2" spans="2:8">
      <c r="B2" s="21" t="s">
        <v>22</v>
      </c>
      <c r="C2" s="22"/>
      <c r="D2" s="22"/>
      <c r="E2" s="22"/>
      <c r="F2" s="22"/>
      <c r="G2" s="22"/>
      <c r="H2" s="22"/>
    </row>
    <row r="3" spans="2:8">
      <c r="B3" s="23" t="s">
        <v>124</v>
      </c>
    </row>
    <row r="5" spans="2:8">
      <c r="B5" s="25" t="s">
        <v>125</v>
      </c>
      <c r="C5" s="26" t="s">
        <v>126</v>
      </c>
      <c r="D5" s="26" t="s">
        <v>127</v>
      </c>
      <c r="E5" s="26" t="s">
        <v>128</v>
      </c>
      <c r="F5" s="26" t="s">
        <v>129</v>
      </c>
      <c r="H5" s="25" t="s">
        <v>103</v>
      </c>
    </row>
    <row r="6" spans="2:8">
      <c r="B6" s="27">
        <v>1</v>
      </c>
      <c r="C6" s="28" t="s">
        <v>130</v>
      </c>
      <c r="D6" s="28" t="s">
        <v>131</v>
      </c>
      <c r="E6" s="28" t="s">
        <v>132</v>
      </c>
      <c r="F6" s="29">
        <v>211000</v>
      </c>
      <c r="H6" t="str" cm="1">
        <f t="array" ref="H6:H13">_xlfn._xlws.FILTER(C6:C30,D6:D30="Technology")</f>
        <v>Jeff Bezos</v>
      </c>
    </row>
    <row r="7" spans="2:8">
      <c r="B7" s="27">
        <v>2</v>
      </c>
      <c r="C7" s="28" t="s">
        <v>133</v>
      </c>
      <c r="D7" s="28" t="s">
        <v>134</v>
      </c>
      <c r="E7" s="28" t="s">
        <v>135</v>
      </c>
      <c r="F7" s="29">
        <v>180000</v>
      </c>
      <c r="H7" t="str">
        <v>Larry Ellison</v>
      </c>
    </row>
    <row r="8" spans="2:8">
      <c r="B8" s="27">
        <v>3</v>
      </c>
      <c r="C8" s="28" t="s">
        <v>136</v>
      </c>
      <c r="D8" s="28" t="s">
        <v>137</v>
      </c>
      <c r="E8" s="28" t="s">
        <v>135</v>
      </c>
      <c r="F8" s="29">
        <v>114000</v>
      </c>
      <c r="H8" t="str">
        <v>Bill Gates</v>
      </c>
    </row>
    <row r="9" spans="2:8">
      <c r="B9" s="27">
        <v>4</v>
      </c>
      <c r="C9" s="28" t="s">
        <v>138</v>
      </c>
      <c r="D9" s="28" t="s">
        <v>137</v>
      </c>
      <c r="E9" s="28" t="s">
        <v>135</v>
      </c>
      <c r="F9" s="29">
        <v>107000</v>
      </c>
      <c r="H9" t="str">
        <v>Steve Ballmer</v>
      </c>
    </row>
    <row r="10" spans="2:8">
      <c r="B10" s="27">
        <v>5</v>
      </c>
      <c r="C10" s="28" t="s">
        <v>139</v>
      </c>
      <c r="D10" s="28" t="s">
        <v>140</v>
      </c>
      <c r="E10" s="28" t="s">
        <v>135</v>
      </c>
      <c r="F10" s="29">
        <v>106000</v>
      </c>
      <c r="H10" t="str">
        <v>Larry Page</v>
      </c>
    </row>
    <row r="11" spans="2:8">
      <c r="B11" s="27">
        <v>6</v>
      </c>
      <c r="C11" s="28" t="s">
        <v>141</v>
      </c>
      <c r="D11" s="28" t="s">
        <v>137</v>
      </c>
      <c r="E11" s="28" t="s">
        <v>135</v>
      </c>
      <c r="F11" s="29">
        <v>104000</v>
      </c>
      <c r="H11" t="str">
        <v>Sergey Brin</v>
      </c>
    </row>
    <row r="12" spans="2:8">
      <c r="B12" s="27">
        <v>7</v>
      </c>
      <c r="C12" s="28" t="s">
        <v>142</v>
      </c>
      <c r="D12" s="28" t="s">
        <v>143</v>
      </c>
      <c r="E12" s="28" t="s">
        <v>135</v>
      </c>
      <c r="F12" s="29">
        <v>94500</v>
      </c>
      <c r="H12" t="str">
        <v>Mark Zuckerberg</v>
      </c>
    </row>
    <row r="13" spans="2:8">
      <c r="B13" s="27">
        <v>8</v>
      </c>
      <c r="C13" s="28" t="s">
        <v>144</v>
      </c>
      <c r="D13" s="28" t="s">
        <v>145</v>
      </c>
      <c r="E13" s="28" t="s">
        <v>146</v>
      </c>
      <c r="F13" s="29">
        <v>93000</v>
      </c>
      <c r="H13" t="str">
        <v>Michael Dell</v>
      </c>
    </row>
    <row r="14" spans="2:8">
      <c r="B14" s="27">
        <v>9</v>
      </c>
      <c r="C14" s="28" t="s">
        <v>147</v>
      </c>
      <c r="D14" s="28" t="s">
        <v>148</v>
      </c>
      <c r="E14" s="28" t="s">
        <v>149</v>
      </c>
      <c r="F14" s="29">
        <v>83400</v>
      </c>
    </row>
    <row r="15" spans="2:8">
      <c r="B15" s="27">
        <v>10</v>
      </c>
      <c r="C15" s="28" t="s">
        <v>150</v>
      </c>
      <c r="D15" s="28" t="s">
        <v>137</v>
      </c>
      <c r="E15" s="28" t="s">
        <v>135</v>
      </c>
      <c r="F15" s="29">
        <v>80700</v>
      </c>
    </row>
    <row r="16" spans="2:8">
      <c r="B16" s="27">
        <v>11</v>
      </c>
      <c r="C16" s="28" t="s">
        <v>151</v>
      </c>
      <c r="D16" s="28" t="s">
        <v>131</v>
      </c>
      <c r="E16" s="28" t="s">
        <v>132</v>
      </c>
      <c r="F16" s="29">
        <v>80500</v>
      </c>
    </row>
    <row r="17" spans="2:6">
      <c r="B17" s="27">
        <v>12</v>
      </c>
      <c r="C17" s="28" t="s">
        <v>152</v>
      </c>
      <c r="D17" s="28" t="s">
        <v>137</v>
      </c>
      <c r="E17" s="28" t="s">
        <v>135</v>
      </c>
      <c r="F17" s="29">
        <v>79200</v>
      </c>
    </row>
    <row r="18" spans="2:6">
      <c r="B18" s="27">
        <v>13</v>
      </c>
      <c r="C18" s="28" t="s">
        <v>153</v>
      </c>
      <c r="D18" s="28" t="s">
        <v>131</v>
      </c>
      <c r="E18" s="28" t="s">
        <v>154</v>
      </c>
      <c r="F18" s="29">
        <v>77300</v>
      </c>
    </row>
    <row r="19" spans="2:6">
      <c r="B19" s="27">
        <v>14</v>
      </c>
      <c r="C19" s="28" t="s">
        <v>155</v>
      </c>
      <c r="D19" s="28" t="s">
        <v>137</v>
      </c>
      <c r="E19" s="28" t="s">
        <v>135</v>
      </c>
      <c r="F19" s="29">
        <v>76000</v>
      </c>
    </row>
    <row r="20" spans="2:6">
      <c r="B20" s="27">
        <v>15</v>
      </c>
      <c r="C20" s="28" t="s">
        <v>156</v>
      </c>
      <c r="D20" s="28" t="s">
        <v>157</v>
      </c>
      <c r="E20" s="28" t="s">
        <v>158</v>
      </c>
      <c r="F20" s="29">
        <v>68000</v>
      </c>
    </row>
    <row r="21" spans="2:6">
      <c r="B21" s="27">
        <v>16</v>
      </c>
      <c r="C21" s="28" t="s">
        <v>159</v>
      </c>
      <c r="D21" s="28" t="s">
        <v>137</v>
      </c>
      <c r="E21" s="28" t="s">
        <v>135</v>
      </c>
      <c r="F21" s="29">
        <v>64400</v>
      </c>
    </row>
    <row r="22" spans="2:6">
      <c r="B22" s="27">
        <v>17</v>
      </c>
      <c r="C22" s="28" t="s">
        <v>160</v>
      </c>
      <c r="D22" s="28" t="s">
        <v>148</v>
      </c>
      <c r="E22" s="28" t="s">
        <v>135</v>
      </c>
      <c r="F22" s="29">
        <v>59000</v>
      </c>
    </row>
    <row r="23" spans="2:6">
      <c r="B23" s="27">
        <v>17</v>
      </c>
      <c r="C23" s="28" t="s">
        <v>161</v>
      </c>
      <c r="D23" s="28" t="s">
        <v>148</v>
      </c>
      <c r="E23" s="28" t="s">
        <v>135</v>
      </c>
      <c r="F23" s="29">
        <v>59000</v>
      </c>
    </row>
    <row r="24" spans="2:6">
      <c r="B24" s="27">
        <v>19</v>
      </c>
      <c r="C24" s="28" t="s">
        <v>162</v>
      </c>
      <c r="D24" s="28" t="s">
        <v>131</v>
      </c>
      <c r="E24" s="28" t="s">
        <v>135</v>
      </c>
      <c r="F24" s="29">
        <v>58800</v>
      </c>
    </row>
    <row r="25" spans="2:6">
      <c r="B25" s="27">
        <v>20</v>
      </c>
      <c r="C25" s="28" t="s">
        <v>163</v>
      </c>
      <c r="D25" s="28" t="s">
        <v>131</v>
      </c>
      <c r="E25" s="28" t="s">
        <v>135</v>
      </c>
      <c r="F25" s="29">
        <v>57600</v>
      </c>
    </row>
    <row r="26" spans="2:6">
      <c r="B26" s="27">
        <v>21</v>
      </c>
      <c r="C26" s="28" t="s">
        <v>164</v>
      </c>
      <c r="D26" s="28" t="s">
        <v>131</v>
      </c>
      <c r="E26" s="28" t="s">
        <v>135</v>
      </c>
      <c r="F26" s="29">
        <v>56700</v>
      </c>
    </row>
    <row r="27" spans="2:6">
      <c r="B27" s="27">
        <v>22</v>
      </c>
      <c r="C27" s="28" t="s">
        <v>165</v>
      </c>
      <c r="D27" s="28" t="s">
        <v>143</v>
      </c>
      <c r="E27" s="28" t="s">
        <v>166</v>
      </c>
      <c r="F27" s="29">
        <v>54400</v>
      </c>
    </row>
    <row r="28" spans="2:6">
      <c r="B28" s="27">
        <v>23</v>
      </c>
      <c r="C28" s="28" t="s">
        <v>167</v>
      </c>
      <c r="D28" s="28" t="s">
        <v>137</v>
      </c>
      <c r="E28" s="28" t="s">
        <v>135</v>
      </c>
      <c r="F28" s="29">
        <v>50100</v>
      </c>
    </row>
    <row r="29" spans="2:6">
      <c r="B29" s="27">
        <v>24</v>
      </c>
      <c r="C29" s="28" t="s">
        <v>168</v>
      </c>
      <c r="D29" s="28" t="s">
        <v>148</v>
      </c>
      <c r="E29" s="28" t="s">
        <v>149</v>
      </c>
      <c r="F29" s="29">
        <v>47200</v>
      </c>
    </row>
    <row r="30" spans="2:6">
      <c r="B30" s="27">
        <v>25</v>
      </c>
      <c r="C30" s="28" t="s">
        <v>169</v>
      </c>
      <c r="D30" s="28" t="s">
        <v>131</v>
      </c>
      <c r="E30" s="28" t="s">
        <v>135</v>
      </c>
      <c r="F30" s="29">
        <v>45100</v>
      </c>
    </row>
    <row r="31" spans="2:6">
      <c r="B31" s="27"/>
      <c r="C31" s="28"/>
      <c r="D31" s="28"/>
      <c r="E31" s="28"/>
      <c r="F31" s="29"/>
    </row>
    <row r="32" spans="2:6">
      <c r="B32" s="27"/>
      <c r="C32" s="28"/>
      <c r="D32" s="28"/>
      <c r="E32" s="28"/>
      <c r="F32" s="29"/>
    </row>
    <row r="33" spans="2:6">
      <c r="B33" s="27"/>
      <c r="C33" s="28"/>
      <c r="D33" s="28"/>
      <c r="E33" s="28"/>
      <c r="F33" s="29"/>
    </row>
    <row r="34" spans="2:6">
      <c r="B34" s="27"/>
      <c r="C34" s="28"/>
      <c r="D34" s="28"/>
      <c r="E34" s="28"/>
      <c r="F34" s="29"/>
    </row>
    <row r="35" spans="2:6">
      <c r="B35" s="27"/>
      <c r="C35" s="28"/>
      <c r="D35" s="28"/>
      <c r="E35" s="28"/>
      <c r="F35" s="29"/>
    </row>
    <row r="36" spans="2:6">
      <c r="B36" s="27"/>
      <c r="C36" s="28"/>
      <c r="D36" s="28"/>
      <c r="E36" s="28"/>
      <c r="F36" s="29"/>
    </row>
    <row r="37" spans="2:6">
      <c r="B37" s="27"/>
      <c r="C37" s="28"/>
      <c r="D37" s="28"/>
      <c r="E37" s="28"/>
      <c r="F37" s="29"/>
    </row>
    <row r="38" spans="2:6">
      <c r="B38" s="27"/>
      <c r="C38" s="28"/>
      <c r="D38" s="28"/>
      <c r="E38" s="28"/>
      <c r="F38" s="29"/>
    </row>
    <row r="39" spans="2:6">
      <c r="B39" s="27"/>
      <c r="C39" s="28"/>
      <c r="D39" s="28"/>
      <c r="E39" s="28"/>
      <c r="F39" s="29"/>
    </row>
    <row r="40" spans="2:6">
      <c r="B40" s="27"/>
      <c r="C40" s="28"/>
      <c r="D40" s="28"/>
      <c r="E40" s="28"/>
      <c r="F40" s="29"/>
    </row>
    <row r="41" spans="2:6">
      <c r="B41" s="27"/>
      <c r="C41" s="28"/>
      <c r="D41" s="28"/>
      <c r="E41" s="28"/>
      <c r="F41" s="29"/>
    </row>
    <row r="42" spans="2:6">
      <c r="B42" s="27"/>
      <c r="C42" s="28"/>
      <c r="D42" s="28"/>
      <c r="E42" s="28"/>
      <c r="F42" s="29"/>
    </row>
    <row r="43" spans="2:6">
      <c r="B43" s="27"/>
      <c r="C43" s="28"/>
      <c r="D43" s="28"/>
      <c r="E43" s="28"/>
      <c r="F43" s="29"/>
    </row>
    <row r="44" spans="2:6">
      <c r="B44" s="27"/>
      <c r="C44" s="28"/>
      <c r="D44" s="28"/>
      <c r="E44" s="28"/>
      <c r="F44" s="29"/>
    </row>
    <row r="45" spans="2:6">
      <c r="B45" s="27"/>
      <c r="C45" s="28"/>
      <c r="D45" s="28"/>
      <c r="E45" s="28"/>
      <c r="F45" s="29"/>
    </row>
    <row r="46" spans="2:6">
      <c r="B46" s="27"/>
      <c r="C46" s="28"/>
      <c r="D46" s="28"/>
      <c r="E46" s="28"/>
      <c r="F46" s="29"/>
    </row>
    <row r="47" spans="2:6">
      <c r="B47" s="27"/>
      <c r="C47" s="28"/>
      <c r="D47" s="28"/>
      <c r="E47" s="28"/>
      <c r="F47" s="29"/>
    </row>
    <row r="48" spans="2:6">
      <c r="B48" s="27"/>
      <c r="C48" s="28"/>
      <c r="D48" s="28"/>
      <c r="E48" s="28"/>
      <c r="F48" s="29"/>
    </row>
    <row r="49" spans="2:6">
      <c r="B49" s="27"/>
      <c r="C49" s="28"/>
      <c r="D49" s="28"/>
      <c r="E49" s="28"/>
      <c r="F49" s="29"/>
    </row>
    <row r="50" spans="2:6">
      <c r="B50" s="27"/>
      <c r="C50" s="28"/>
      <c r="D50" s="28"/>
      <c r="E50" s="28"/>
      <c r="F50" s="29"/>
    </row>
    <row r="51" spans="2:6">
      <c r="B51" s="27"/>
      <c r="C51" s="28"/>
      <c r="D51" s="28"/>
      <c r="E51" s="28"/>
      <c r="F51" s="29"/>
    </row>
    <row r="52" spans="2:6">
      <c r="B52" s="27"/>
      <c r="C52" s="28"/>
      <c r="D52" s="28"/>
      <c r="E52" s="28"/>
      <c r="F52" s="29"/>
    </row>
    <row r="53" spans="2:6">
      <c r="B53" s="27"/>
      <c r="C53" s="28"/>
      <c r="D53" s="28"/>
      <c r="E53" s="28"/>
      <c r="F53" s="29"/>
    </row>
    <row r="54" spans="2:6">
      <c r="B54" s="27"/>
      <c r="C54" s="28"/>
      <c r="D54" s="28"/>
      <c r="E54" s="28"/>
      <c r="F54" s="29"/>
    </row>
    <row r="55" spans="2:6">
      <c r="B55" s="27"/>
      <c r="C55" s="28"/>
      <c r="D55" s="28"/>
      <c r="E55" s="28"/>
      <c r="F55" s="29"/>
    </row>
    <row r="56" spans="2:6">
      <c r="B56" s="27"/>
      <c r="C56" s="28"/>
      <c r="D56" s="28"/>
      <c r="E56" s="28"/>
      <c r="F56" s="29"/>
    </row>
    <row r="57" spans="2:6">
      <c r="B57" s="27"/>
      <c r="C57" s="28"/>
      <c r="D57" s="28"/>
      <c r="E57" s="28"/>
      <c r="F57" s="29"/>
    </row>
    <row r="58" spans="2:6">
      <c r="B58" s="27"/>
      <c r="C58" s="28"/>
      <c r="D58" s="28"/>
      <c r="E58" s="28"/>
      <c r="F58" s="29"/>
    </row>
    <row r="59" spans="2:6">
      <c r="B59" s="27"/>
      <c r="C59" s="28"/>
      <c r="D59" s="28"/>
      <c r="E59" s="28"/>
      <c r="F59" s="29"/>
    </row>
    <row r="60" spans="2:6">
      <c r="B60" s="27"/>
      <c r="C60" s="28"/>
      <c r="D60" s="28"/>
      <c r="E60" s="28"/>
      <c r="F60" s="29"/>
    </row>
    <row r="61" spans="2:6">
      <c r="B61" s="27"/>
      <c r="C61" s="28"/>
      <c r="D61" s="28"/>
      <c r="E61" s="28"/>
      <c r="F61" s="29"/>
    </row>
    <row r="62" spans="2:6">
      <c r="B62" s="27"/>
      <c r="C62" s="28"/>
      <c r="D62" s="28"/>
      <c r="E62" s="28"/>
      <c r="F62" s="29"/>
    </row>
    <row r="63" spans="2:6">
      <c r="B63" s="27"/>
      <c r="C63" s="28"/>
      <c r="D63" s="28"/>
      <c r="E63" s="28"/>
      <c r="F63" s="29"/>
    </row>
    <row r="64" spans="2:6">
      <c r="B64" s="27"/>
      <c r="C64" s="28"/>
      <c r="D64" s="28"/>
      <c r="E64" s="28"/>
      <c r="F64" s="29"/>
    </row>
    <row r="65" spans="2:6">
      <c r="B65" s="27"/>
      <c r="C65" s="28"/>
      <c r="D65" s="28"/>
      <c r="E65" s="28"/>
      <c r="F65" s="29"/>
    </row>
    <row r="66" spans="2:6">
      <c r="B66" s="27"/>
      <c r="C66" s="28"/>
      <c r="D66" s="28"/>
      <c r="E66" s="28"/>
      <c r="F66" s="29"/>
    </row>
    <row r="67" spans="2:6">
      <c r="B67" s="27"/>
      <c r="C67" s="28"/>
      <c r="D67" s="28"/>
      <c r="E67" s="28"/>
      <c r="F67" s="29"/>
    </row>
    <row r="68" spans="2:6">
      <c r="B68" s="27"/>
      <c r="C68" s="28"/>
      <c r="D68" s="28"/>
      <c r="E68" s="28"/>
      <c r="F68" s="29"/>
    </row>
    <row r="69" spans="2:6">
      <c r="B69" s="27"/>
      <c r="C69" s="28"/>
      <c r="D69" s="28"/>
      <c r="E69" s="28"/>
      <c r="F69" s="29"/>
    </row>
    <row r="70" spans="2:6">
      <c r="B70" s="27"/>
      <c r="C70" s="28"/>
      <c r="D70" s="28"/>
      <c r="E70" s="28"/>
      <c r="F70" s="29"/>
    </row>
    <row r="71" spans="2:6">
      <c r="B71" s="27"/>
      <c r="C71" s="28"/>
      <c r="D71" s="28"/>
      <c r="E71" s="28"/>
      <c r="F71" s="29"/>
    </row>
    <row r="72" spans="2:6">
      <c r="B72" s="27"/>
      <c r="C72" s="28"/>
      <c r="D72" s="28"/>
      <c r="E72" s="28"/>
      <c r="F72" s="29"/>
    </row>
    <row r="73" spans="2:6">
      <c r="B73" s="27"/>
      <c r="C73" s="28"/>
      <c r="D73" s="28"/>
      <c r="E73" s="28"/>
      <c r="F73" s="29"/>
    </row>
    <row r="74" spans="2:6">
      <c r="B74" s="27"/>
      <c r="C74" s="28"/>
      <c r="D74" s="28"/>
      <c r="E74" s="28"/>
      <c r="F74" s="29"/>
    </row>
    <row r="75" spans="2:6">
      <c r="B75" s="27"/>
      <c r="C75" s="28"/>
      <c r="D75" s="28"/>
      <c r="E75" s="28"/>
      <c r="F75" s="29"/>
    </row>
    <row r="76" spans="2:6">
      <c r="B76" s="27"/>
      <c r="C76" s="28"/>
      <c r="D76" s="28"/>
      <c r="E76" s="28"/>
      <c r="F76" s="29"/>
    </row>
    <row r="77" spans="2:6">
      <c r="B77" s="27"/>
      <c r="C77" s="28"/>
      <c r="D77" s="28"/>
      <c r="E77" s="28"/>
      <c r="F77" s="29"/>
    </row>
    <row r="78" spans="2:6">
      <c r="B78" s="27"/>
      <c r="C78" s="28"/>
      <c r="D78" s="28"/>
      <c r="E78" s="28"/>
      <c r="F78" s="29"/>
    </row>
    <row r="79" spans="2:6">
      <c r="B79" s="27"/>
      <c r="C79" s="28"/>
      <c r="D79" s="28"/>
      <c r="E79" s="28"/>
      <c r="F79" s="29"/>
    </row>
    <row r="80" spans="2:6">
      <c r="B80" s="27"/>
      <c r="C80" s="28"/>
      <c r="D80" s="28"/>
      <c r="E80" s="28"/>
      <c r="F80" s="29"/>
    </row>
    <row r="81" spans="2:6">
      <c r="B81" s="27"/>
      <c r="C81" s="28"/>
      <c r="D81" s="28"/>
      <c r="E81" s="28"/>
      <c r="F81" s="29"/>
    </row>
    <row r="82" spans="2:6">
      <c r="B82" s="27"/>
      <c r="C82" s="28"/>
      <c r="D82" s="28"/>
      <c r="E82" s="28"/>
      <c r="F82" s="29"/>
    </row>
    <row r="83" spans="2:6">
      <c r="B83" s="27"/>
      <c r="C83" s="28"/>
      <c r="D83" s="28"/>
      <c r="E83" s="28"/>
      <c r="F83" s="29"/>
    </row>
    <row r="84" spans="2:6">
      <c r="B84" s="27"/>
      <c r="C84" s="28"/>
      <c r="D84" s="28"/>
      <c r="E84" s="28"/>
      <c r="F84" s="29"/>
    </row>
    <row r="85" spans="2:6">
      <c r="B85" s="27"/>
      <c r="C85" s="28"/>
      <c r="D85" s="28"/>
      <c r="E85" s="28"/>
      <c r="F85" s="29"/>
    </row>
    <row r="86" spans="2:6">
      <c r="B86" s="27"/>
      <c r="C86" s="28"/>
      <c r="D86" s="28"/>
      <c r="E86" s="28"/>
      <c r="F86" s="29"/>
    </row>
    <row r="87" spans="2:6">
      <c r="B87" s="27"/>
      <c r="C87" s="28"/>
      <c r="D87" s="28"/>
      <c r="E87" s="28"/>
      <c r="F87" s="29"/>
    </row>
    <row r="88" spans="2:6">
      <c r="B88" s="27"/>
      <c r="C88" s="28"/>
      <c r="D88" s="28"/>
      <c r="E88" s="28"/>
      <c r="F88" s="29"/>
    </row>
    <row r="89" spans="2:6">
      <c r="B89" s="27"/>
      <c r="C89" s="28"/>
      <c r="D89" s="28"/>
      <c r="E89" s="28"/>
      <c r="F89" s="29"/>
    </row>
    <row r="90" spans="2:6">
      <c r="B90" s="27"/>
      <c r="C90" s="28"/>
      <c r="D90" s="28"/>
      <c r="E90" s="28"/>
      <c r="F90" s="29"/>
    </row>
    <row r="91" spans="2:6">
      <c r="B91" s="27"/>
      <c r="C91" s="28"/>
      <c r="D91" s="28"/>
      <c r="E91" s="28"/>
      <c r="F91" s="29"/>
    </row>
    <row r="92" spans="2:6">
      <c r="B92" s="27"/>
      <c r="C92" s="28"/>
      <c r="D92" s="28"/>
      <c r="E92" s="28"/>
      <c r="F92" s="29"/>
    </row>
    <row r="93" spans="2:6">
      <c r="B93" s="27"/>
      <c r="C93" s="28"/>
      <c r="D93" s="28"/>
      <c r="E93" s="28"/>
      <c r="F93" s="29"/>
    </row>
    <row r="94" spans="2:6">
      <c r="B94" s="27"/>
      <c r="C94" s="28"/>
      <c r="D94" s="28"/>
      <c r="E94" s="28"/>
      <c r="F94" s="29"/>
    </row>
    <row r="95" spans="2:6">
      <c r="B95" s="27"/>
      <c r="C95" s="28"/>
      <c r="D95" s="28"/>
      <c r="E95" s="28"/>
      <c r="F95" s="29"/>
    </row>
    <row r="96" spans="2:6">
      <c r="B96" s="27"/>
      <c r="C96" s="28"/>
      <c r="D96" s="28"/>
      <c r="E96" s="28"/>
      <c r="F96" s="29"/>
    </row>
    <row r="97" spans="2:6">
      <c r="B97" s="27"/>
      <c r="C97" s="28"/>
      <c r="D97" s="28"/>
      <c r="E97" s="28"/>
      <c r="F97" s="29"/>
    </row>
    <row r="98" spans="2:6">
      <c r="B98" s="27"/>
      <c r="C98" s="28"/>
      <c r="D98" s="28"/>
      <c r="E98" s="28"/>
      <c r="F98" s="29"/>
    </row>
    <row r="99" spans="2:6">
      <c r="B99" s="27"/>
      <c r="C99" s="28"/>
      <c r="D99" s="28"/>
      <c r="E99" s="28"/>
      <c r="F99" s="29"/>
    </row>
    <row r="100" spans="2:6">
      <c r="B100" s="27"/>
      <c r="C100" s="28"/>
      <c r="D100" s="28"/>
      <c r="E100" s="28"/>
      <c r="F100" s="29"/>
    </row>
    <row r="101" spans="2:6">
      <c r="B101" s="27"/>
      <c r="C101" s="28"/>
      <c r="D101" s="28"/>
      <c r="E101" s="28"/>
      <c r="F101" s="29"/>
    </row>
    <row r="102" spans="2:6">
      <c r="B102" s="27"/>
      <c r="C102" s="28"/>
      <c r="D102" s="28"/>
      <c r="E102" s="28"/>
      <c r="F102" s="29"/>
    </row>
  </sheetData>
  <mergeCells count="1">
    <mergeCell ref="D1:H1"/>
  </mergeCells>
  <pageMargins left="0.7" right="0.7" top="0.75" bottom="0.75" header="0.3" footer="0.3"/>
  <pageSetup paperSize="9" orientation="portrait" horizontalDpi="0" verticalDpi="0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56F6D0F-55E1-4F56-A2D8-60DED3CA86DC}">
  <dimension ref="B1:D15"/>
  <sheetViews>
    <sheetView zoomScale="120" zoomScaleNormal="120" workbookViewId="0">
      <selection activeCell="B1" sqref="B1:D1"/>
    </sheetView>
  </sheetViews>
  <sheetFormatPr defaultColWidth="11.125" defaultRowHeight="15.75"/>
  <cols>
    <col min="1" max="1" width="4.875" customWidth="1"/>
    <col min="2" max="2" width="27.375" customWidth="1"/>
    <col min="3" max="3" width="28.5" customWidth="1"/>
    <col min="4" max="4" width="36" bestFit="1" customWidth="1"/>
  </cols>
  <sheetData>
    <row r="1" spans="2:4" ht="16.5" customHeight="1">
      <c r="B1" s="58" t="s">
        <v>170</v>
      </c>
      <c r="C1" s="58"/>
      <c r="D1" s="58"/>
    </row>
    <row r="2" spans="2:4">
      <c r="B2" s="21" t="s">
        <v>30</v>
      </c>
      <c r="C2" s="22"/>
    </row>
    <row r="3" spans="2:4">
      <c r="B3" s="23" t="s">
        <v>171</v>
      </c>
    </row>
    <row r="5" spans="2:4" ht="32.25">
      <c r="B5" s="24" t="s">
        <v>172</v>
      </c>
      <c r="C5" s="24" t="s">
        <v>173</v>
      </c>
      <c r="D5" s="30" t="s">
        <v>174</v>
      </c>
    </row>
    <row r="6" spans="2:4">
      <c r="B6" t="s">
        <v>175</v>
      </c>
      <c r="C6" s="2" t="str">
        <f>_xlfn.TEXTBEFORE(_xlfn.TEXTAFTER(B6,": ")," ")</f>
        <v>2025-01-15</v>
      </c>
      <c r="D6" s="31">
        <v>45672</v>
      </c>
    </row>
    <row r="7" spans="2:4">
      <c r="B7" t="s">
        <v>176</v>
      </c>
      <c r="C7" s="2" t="str">
        <f t="shared" ref="C7:C15" si="0">_xlfn.TEXTBEFORE(_xlfn.TEXTAFTER(B7,": ")," ")</f>
        <v>2025-02-07</v>
      </c>
      <c r="D7" s="31" t="s">
        <v>177</v>
      </c>
    </row>
    <row r="8" spans="2:4">
      <c r="B8" t="s">
        <v>178</v>
      </c>
      <c r="C8" s="2" t="str">
        <f t="shared" si="0"/>
        <v>2025-03-21</v>
      </c>
      <c r="D8" s="31">
        <v>45709</v>
      </c>
    </row>
    <row r="9" spans="2:4">
      <c r="B9" t="s">
        <v>179</v>
      </c>
      <c r="C9" s="2" t="str">
        <f t="shared" si="0"/>
        <v>2024-11-30</v>
      </c>
      <c r="D9" s="31">
        <v>45381</v>
      </c>
    </row>
    <row r="10" spans="2:4">
      <c r="B10" t="s">
        <v>180</v>
      </c>
      <c r="C10" s="2" t="str">
        <f t="shared" si="0"/>
        <v>2024-12-12</v>
      </c>
      <c r="D10" s="31">
        <v>45303</v>
      </c>
    </row>
    <row r="11" spans="2:4">
      <c r="B11" t="s">
        <v>181</v>
      </c>
      <c r="C11" s="2" t="str">
        <f t="shared" si="0"/>
        <v>2023-05-09</v>
      </c>
      <c r="D11" s="31" t="s">
        <v>182</v>
      </c>
    </row>
    <row r="12" spans="2:4">
      <c r="B12" t="s">
        <v>183</v>
      </c>
      <c r="C12" s="2" t="str">
        <f t="shared" si="0"/>
        <v>2023-08-25</v>
      </c>
      <c r="D12" s="31">
        <v>44982</v>
      </c>
    </row>
    <row r="13" spans="2:4">
      <c r="B13" t="s">
        <v>184</v>
      </c>
      <c r="C13" s="2" t="str">
        <f t="shared" si="0"/>
        <v>2022-06-14</v>
      </c>
      <c r="D13" s="31">
        <v>44575</v>
      </c>
    </row>
    <row r="14" spans="2:4">
      <c r="B14" t="s">
        <v>185</v>
      </c>
      <c r="C14" s="2" t="str">
        <f t="shared" si="0"/>
        <v>2021-09-03</v>
      </c>
      <c r="D14" s="31" t="s">
        <v>186</v>
      </c>
    </row>
    <row r="15" spans="2:4">
      <c r="B15" t="s">
        <v>187</v>
      </c>
      <c r="C15" s="2" t="str">
        <f t="shared" si="0"/>
        <v>2021-10-29</v>
      </c>
      <c r="D15" s="31" t="s">
        <v>188</v>
      </c>
    </row>
  </sheetData>
  <mergeCells count="1">
    <mergeCell ref="B1:D1"/>
  </mergeCells>
  <pageMargins left="0.7" right="0.7" top="0.75" bottom="0.75" header="0.3" footer="0.3"/>
  <pageSetup paperSize="9" orientation="portrait" horizontalDpi="0" verticalDpi="0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AA29E4A-7E11-4B7E-BC7B-5462FE7A9F2E}">
  <dimension ref="B1:I18"/>
  <sheetViews>
    <sheetView zoomScale="120" zoomScaleNormal="120" workbookViewId="0">
      <selection activeCell="D17" sqref="D17"/>
    </sheetView>
  </sheetViews>
  <sheetFormatPr defaultColWidth="11.125" defaultRowHeight="15.75"/>
  <cols>
    <col min="1" max="1" width="4.875" customWidth="1"/>
    <col min="2" max="2" width="58.375" customWidth="1"/>
    <col min="3" max="3" width="5.375" customWidth="1"/>
    <col min="4" max="7" width="9"/>
    <col min="8" max="8" width="7.625" customWidth="1"/>
    <col min="9" max="9" width="31" bestFit="1" customWidth="1"/>
  </cols>
  <sheetData>
    <row r="1" spans="2:9">
      <c r="B1" s="59"/>
      <c r="C1" s="59"/>
      <c r="D1" s="60" t="s">
        <v>189</v>
      </c>
      <c r="E1" s="60"/>
      <c r="F1" s="60"/>
      <c r="G1" s="60"/>
      <c r="H1" s="60"/>
      <c r="I1" s="60"/>
    </row>
    <row r="2" spans="2:9">
      <c r="B2" s="21" t="s">
        <v>63</v>
      </c>
      <c r="C2" s="22"/>
      <c r="D2" s="22"/>
      <c r="E2" s="22"/>
      <c r="F2" s="22"/>
      <c r="G2" s="22"/>
      <c r="H2" s="22"/>
    </row>
    <row r="3" spans="2:9">
      <c r="B3" s="56" t="s">
        <v>190</v>
      </c>
    </row>
    <row r="4" spans="2:9">
      <c r="B4" s="32"/>
      <c r="C4" s="33"/>
      <c r="D4" s="33"/>
      <c r="E4" s="33"/>
      <c r="F4" s="33"/>
      <c r="G4" s="33"/>
    </row>
    <row r="5" spans="2:9">
      <c r="B5" s="33"/>
      <c r="C5" s="33"/>
      <c r="D5" s="34" t="s">
        <v>191</v>
      </c>
      <c r="E5" s="34"/>
      <c r="F5" s="34"/>
      <c r="G5" s="34"/>
    </row>
    <row r="6" spans="2:9">
      <c r="B6" s="33"/>
      <c r="C6" s="35"/>
      <c r="D6" s="36">
        <v>10</v>
      </c>
      <c r="E6" s="36">
        <v>12</v>
      </c>
      <c r="F6" s="36">
        <v>14</v>
      </c>
      <c r="G6" s="36">
        <v>16</v>
      </c>
    </row>
    <row r="7" spans="2:9" ht="15.95" customHeight="1">
      <c r="B7" s="61" t="s">
        <v>192</v>
      </c>
      <c r="C7" s="37">
        <v>250</v>
      </c>
      <c r="D7" s="38">
        <f>$C7*D$6</f>
        <v>2500</v>
      </c>
      <c r="E7" s="38">
        <f t="shared" ref="E7:G10" si="0">$C7*E$6</f>
        <v>3000</v>
      </c>
      <c r="F7" s="38">
        <f t="shared" si="0"/>
        <v>3500</v>
      </c>
      <c r="G7" s="38">
        <f t="shared" si="0"/>
        <v>4000</v>
      </c>
    </row>
    <row r="8" spans="2:9">
      <c r="B8" s="61"/>
      <c r="C8" s="37">
        <v>500</v>
      </c>
      <c r="D8" s="38">
        <f t="shared" ref="D8:D10" si="1">$C8*D$6</f>
        <v>5000</v>
      </c>
      <c r="E8" s="38">
        <f t="shared" si="0"/>
        <v>6000</v>
      </c>
      <c r="F8" s="38">
        <f t="shared" si="0"/>
        <v>7000</v>
      </c>
      <c r="G8" s="38">
        <f t="shared" si="0"/>
        <v>8000</v>
      </c>
    </row>
    <row r="9" spans="2:9">
      <c r="B9" s="61"/>
      <c r="C9" s="37">
        <v>750</v>
      </c>
      <c r="D9" s="38">
        <f t="shared" si="1"/>
        <v>7500</v>
      </c>
      <c r="E9" s="38">
        <f t="shared" si="0"/>
        <v>9000</v>
      </c>
      <c r="F9" s="38">
        <f t="shared" si="0"/>
        <v>10500</v>
      </c>
      <c r="G9" s="38">
        <f t="shared" si="0"/>
        <v>12000</v>
      </c>
    </row>
    <row r="10" spans="2:9">
      <c r="B10" s="61"/>
      <c r="C10" s="37">
        <v>1000</v>
      </c>
      <c r="D10" s="38">
        <f t="shared" si="1"/>
        <v>10000</v>
      </c>
      <c r="E10" s="38">
        <f t="shared" si="0"/>
        <v>12000</v>
      </c>
      <c r="F10" s="38">
        <f t="shared" si="0"/>
        <v>14000</v>
      </c>
      <c r="G10" s="38">
        <f t="shared" si="0"/>
        <v>16000</v>
      </c>
    </row>
    <row r="11" spans="2:9">
      <c r="B11" s="23"/>
      <c r="C11" s="39"/>
      <c r="D11" s="23"/>
      <c r="E11" s="23"/>
    </row>
    <row r="12" spans="2:9">
      <c r="B12" s="23"/>
      <c r="C12" s="39"/>
      <c r="D12" s="23"/>
      <c r="E12" s="23"/>
    </row>
    <row r="13" spans="2:9">
      <c r="B13" s="23"/>
      <c r="C13" s="39"/>
      <c r="D13" s="23"/>
      <c r="E13" s="23"/>
    </row>
    <row r="14" spans="2:9">
      <c r="B14" s="23"/>
      <c r="C14" s="23"/>
      <c r="D14" s="23"/>
      <c r="E14" s="23"/>
    </row>
    <row r="15" spans="2:9">
      <c r="B15" s="23"/>
      <c r="C15" s="23"/>
      <c r="D15" s="23"/>
      <c r="E15" s="23"/>
    </row>
    <row r="16" spans="2:9">
      <c r="B16" s="23"/>
      <c r="C16" s="23"/>
      <c r="D16" s="23"/>
      <c r="E16" s="23"/>
    </row>
    <row r="17" spans="2:5">
      <c r="B17" s="23"/>
      <c r="C17" s="23"/>
      <c r="D17" s="23"/>
      <c r="E17" s="23"/>
    </row>
    <row r="18" spans="2:5">
      <c r="B18" s="23"/>
      <c r="C18" s="23"/>
      <c r="D18" s="23"/>
      <c r="E18" s="23"/>
    </row>
  </sheetData>
  <mergeCells count="2">
    <mergeCell ref="D5:G5"/>
    <mergeCell ref="B7:B10"/>
  </mergeCells>
  <pageMargins left="0.7" right="0.7" top="0.75" bottom="0.75" header="0.3" footer="0.3"/>
  <pageSetup paperSize="9" orientation="portrait" horizontalDpi="0" verticalDpi="0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B4C9678-6204-4575-A9F1-FAC054478C95}">
  <dimension ref="B1:F15"/>
  <sheetViews>
    <sheetView zoomScale="120" zoomScaleNormal="120" workbookViewId="0">
      <selection activeCell="E19" sqref="E19"/>
    </sheetView>
  </sheetViews>
  <sheetFormatPr defaultColWidth="11.125" defaultRowHeight="15.75"/>
  <cols>
    <col min="1" max="1" width="4.875" customWidth="1"/>
    <col min="2" max="4" width="9"/>
    <col min="5" max="5" width="36" bestFit="1" customWidth="1"/>
  </cols>
  <sheetData>
    <row r="1" spans="2:6">
      <c r="D1" s="57" t="s">
        <v>193</v>
      </c>
      <c r="E1" s="57"/>
      <c r="F1" s="57"/>
    </row>
    <row r="2" spans="2:6">
      <c r="B2" s="21" t="s">
        <v>78</v>
      </c>
      <c r="C2" s="22"/>
      <c r="D2" s="22"/>
      <c r="E2" s="22"/>
      <c r="F2" s="22"/>
    </row>
    <row r="3" spans="2:6">
      <c r="B3" s="23" t="s">
        <v>194</v>
      </c>
    </row>
    <row r="5" spans="2:6">
      <c r="B5" s="24" t="s">
        <v>195</v>
      </c>
      <c r="C5" s="24" t="s">
        <v>196</v>
      </c>
      <c r="D5" s="24" t="s">
        <v>103</v>
      </c>
    </row>
    <row r="6" spans="2:6" ht="32.25">
      <c r="B6" t="s">
        <v>197</v>
      </c>
      <c r="C6" t="s">
        <v>198</v>
      </c>
      <c r="D6" s="2" t="str">
        <f>LEFT(B6,1)&amp;LEFT(C6,1)</f>
        <v>AC</v>
      </c>
      <c r="E6" s="19" t="s">
        <v>199</v>
      </c>
    </row>
    <row r="7" spans="2:6">
      <c r="B7" t="s">
        <v>200</v>
      </c>
      <c r="C7" t="s">
        <v>201</v>
      </c>
      <c r="D7" s="2" t="str">
        <f t="shared" ref="D7:D15" si="0">LEFT(B7,1)&amp;LEFT(C7,1)</f>
        <v>JW</v>
      </c>
    </row>
    <row r="8" spans="2:6">
      <c r="B8" t="s">
        <v>202</v>
      </c>
      <c r="C8" t="s">
        <v>203</v>
      </c>
      <c r="D8" s="2" t="str">
        <f t="shared" si="0"/>
        <v>ML</v>
      </c>
    </row>
    <row r="9" spans="2:6">
      <c r="B9" t="s">
        <v>204</v>
      </c>
      <c r="C9" t="s">
        <v>205</v>
      </c>
      <c r="D9" s="2" t="str">
        <f t="shared" si="0"/>
        <v>DS</v>
      </c>
    </row>
    <row r="10" spans="2:6">
      <c r="B10" t="s">
        <v>206</v>
      </c>
      <c r="C10" t="s">
        <v>207</v>
      </c>
      <c r="D10" s="2" t="str">
        <f t="shared" si="0"/>
        <v>SP</v>
      </c>
    </row>
    <row r="11" spans="2:6">
      <c r="B11" t="s">
        <v>208</v>
      </c>
      <c r="C11" t="s">
        <v>209</v>
      </c>
      <c r="D11" s="2" t="str">
        <f t="shared" si="0"/>
        <v>LB</v>
      </c>
    </row>
    <row r="12" spans="2:6">
      <c r="B12" t="s">
        <v>210</v>
      </c>
      <c r="C12" t="s">
        <v>211</v>
      </c>
      <c r="D12" s="2" t="str">
        <f t="shared" si="0"/>
        <v>EJ</v>
      </c>
    </row>
    <row r="13" spans="2:6">
      <c r="B13" t="s">
        <v>212</v>
      </c>
      <c r="C13" t="s">
        <v>213</v>
      </c>
      <c r="D13" s="2" t="str">
        <f t="shared" si="0"/>
        <v>DK</v>
      </c>
    </row>
    <row r="14" spans="2:6">
      <c r="B14" t="s">
        <v>214</v>
      </c>
      <c r="C14" t="s">
        <v>215</v>
      </c>
      <c r="D14" s="2" t="str">
        <f t="shared" si="0"/>
        <v>OG</v>
      </c>
    </row>
    <row r="15" spans="2:6">
      <c r="B15" t="s">
        <v>216</v>
      </c>
      <c r="C15" t="s">
        <v>217</v>
      </c>
      <c r="D15" s="2" t="str">
        <f t="shared" si="0"/>
        <v>EW</v>
      </c>
    </row>
  </sheetData>
  <mergeCells count="1">
    <mergeCell ref="D1:F1"/>
  </mergeCells>
  <pageMargins left="0.7" right="0.7" top="0.75" bottom="0.75" header="0.3" footer="0.3"/>
  <pageSetup paperSize="9" orientation="portrait" horizontalDpi="0" verticalDpi="0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5ABEBE2-3FE4-428C-962A-C3BBA770EF7A}">
  <dimension ref="B1:I33"/>
  <sheetViews>
    <sheetView zoomScale="120" zoomScaleNormal="120" workbookViewId="0">
      <selection activeCell="E16" sqref="E16"/>
    </sheetView>
  </sheetViews>
  <sheetFormatPr defaultColWidth="11.125" defaultRowHeight="15.75"/>
  <cols>
    <col min="1" max="1" width="4.875" customWidth="1"/>
    <col min="2" max="2" width="11.875" customWidth="1"/>
    <col min="3" max="3" width="9" style="2"/>
    <col min="5" max="5" width="13.625" bestFit="1" customWidth="1"/>
    <col min="6" max="6" width="22.25" bestFit="1" customWidth="1"/>
    <col min="7" max="7" width="36" bestFit="1" customWidth="1"/>
  </cols>
  <sheetData>
    <row r="1" spans="2:6">
      <c r="D1" s="57" t="s">
        <v>218</v>
      </c>
      <c r="E1" s="57"/>
      <c r="F1" s="57"/>
    </row>
    <row r="2" spans="2:6">
      <c r="B2" s="21" t="s">
        <v>219</v>
      </c>
      <c r="C2" s="40"/>
      <c r="D2" s="22"/>
      <c r="E2" s="22"/>
    </row>
    <row r="3" spans="2:6">
      <c r="B3" s="23" t="s">
        <v>220</v>
      </c>
      <c r="F3" t="s">
        <v>221</v>
      </c>
    </row>
    <row r="5" spans="2:6">
      <c r="B5" s="24" t="s">
        <v>173</v>
      </c>
      <c r="C5" s="24" t="s">
        <v>5</v>
      </c>
    </row>
    <row r="6" spans="2:6">
      <c r="B6" s="2" t="s">
        <v>222</v>
      </c>
      <c r="C6" s="4">
        <v>4120</v>
      </c>
    </row>
    <row r="7" spans="2:6">
      <c r="B7" s="2" t="s">
        <v>223</v>
      </c>
      <c r="C7" s="4">
        <v>3980</v>
      </c>
    </row>
    <row r="8" spans="2:6">
      <c r="B8" s="2" t="s">
        <v>224</v>
      </c>
      <c r="C8" s="4">
        <v>4310</v>
      </c>
    </row>
    <row r="9" spans="2:6">
      <c r="B9" s="2" t="s">
        <v>225</v>
      </c>
      <c r="C9" s="4">
        <v>4520</v>
      </c>
    </row>
    <row r="10" spans="2:6">
      <c r="B10" s="2" t="s">
        <v>226</v>
      </c>
      <c r="C10" s="4">
        <v>4180</v>
      </c>
    </row>
    <row r="11" spans="2:6">
      <c r="B11" s="2" t="s">
        <v>227</v>
      </c>
      <c r="C11" s="4">
        <v>4760</v>
      </c>
    </row>
    <row r="12" spans="2:6">
      <c r="B12" s="2" t="s">
        <v>228</v>
      </c>
      <c r="C12" s="4">
        <v>4380</v>
      </c>
    </row>
    <row r="13" spans="2:6">
      <c r="B13" s="2" t="s">
        <v>229</v>
      </c>
      <c r="C13" s="4">
        <v>4950</v>
      </c>
    </row>
    <row r="14" spans="2:6">
      <c r="B14" s="2" t="s">
        <v>230</v>
      </c>
      <c r="C14" s="4">
        <v>4210</v>
      </c>
    </row>
    <row r="15" spans="2:6">
      <c r="B15" s="2" t="s">
        <v>231</v>
      </c>
      <c r="C15" s="4">
        <v>4630</v>
      </c>
    </row>
    <row r="16" spans="2:6">
      <c r="B16" s="2" t="s">
        <v>232</v>
      </c>
      <c r="C16" s="4">
        <v>4440</v>
      </c>
    </row>
    <row r="17" spans="2:9">
      <c r="B17" s="2" t="s">
        <v>233</v>
      </c>
      <c r="C17" s="4">
        <v>4870</v>
      </c>
    </row>
    <row r="18" spans="2:9">
      <c r="B18" s="2" t="s">
        <v>234</v>
      </c>
      <c r="C18" s="4">
        <v>4290</v>
      </c>
    </row>
    <row r="19" spans="2:9">
      <c r="B19" s="2" t="s">
        <v>235</v>
      </c>
      <c r="C19" s="4">
        <v>4560</v>
      </c>
    </row>
    <row r="20" spans="2:9">
      <c r="B20" s="2" t="s">
        <v>236</v>
      </c>
      <c r="C20" s="4">
        <v>12400</v>
      </c>
    </row>
    <row r="21" spans="2:9">
      <c r="B21" s="2" t="s">
        <v>237</v>
      </c>
      <c r="C21" s="4">
        <v>4310</v>
      </c>
    </row>
    <row r="22" spans="2:9">
      <c r="B22" s="2" t="s">
        <v>238</v>
      </c>
      <c r="C22" s="4">
        <v>4080</v>
      </c>
    </row>
    <row r="23" spans="2:9" ht="18" customHeight="1">
      <c r="B23" s="2" t="s">
        <v>239</v>
      </c>
      <c r="C23" s="4">
        <v>4670</v>
      </c>
      <c r="F23" s="62" t="s">
        <v>240</v>
      </c>
      <c r="G23" s="62"/>
      <c r="H23" s="62"/>
      <c r="I23" s="62"/>
    </row>
    <row r="24" spans="2:9">
      <c r="B24" s="2" t="s">
        <v>241</v>
      </c>
      <c r="C24" s="4">
        <v>900</v>
      </c>
    </row>
    <row r="25" spans="2:9">
      <c r="B25" s="2" t="s">
        <v>242</v>
      </c>
      <c r="C25" s="4">
        <v>4520</v>
      </c>
    </row>
    <row r="26" spans="2:9">
      <c r="B26" s="2" t="s">
        <v>243</v>
      </c>
      <c r="C26" s="4">
        <v>4740</v>
      </c>
    </row>
    <row r="27" spans="2:9">
      <c r="B27" s="2" t="s">
        <v>244</v>
      </c>
      <c r="C27" s="4">
        <v>4330</v>
      </c>
    </row>
    <row r="28" spans="2:9">
      <c r="B28" s="2" t="s">
        <v>245</v>
      </c>
      <c r="C28" s="4">
        <v>4610</v>
      </c>
    </row>
    <row r="29" spans="2:9">
      <c r="B29" s="2" t="s">
        <v>246</v>
      </c>
      <c r="C29" s="4">
        <v>4270</v>
      </c>
    </row>
    <row r="30" spans="2:9">
      <c r="B30" s="2" t="s">
        <v>247</v>
      </c>
      <c r="C30" s="4">
        <v>4980</v>
      </c>
    </row>
    <row r="31" spans="2:9">
      <c r="B31" s="2" t="s">
        <v>248</v>
      </c>
      <c r="C31" s="4">
        <v>4420</v>
      </c>
    </row>
    <row r="32" spans="2:9">
      <c r="B32" s="2" t="s">
        <v>249</v>
      </c>
      <c r="C32" s="4">
        <v>11200</v>
      </c>
    </row>
    <row r="33" spans="2:3">
      <c r="B33" s="2" t="s">
        <v>250</v>
      </c>
      <c r="C33" s="4">
        <v>4350</v>
      </c>
    </row>
  </sheetData>
  <mergeCells count="2">
    <mergeCell ref="D1:F1"/>
    <mergeCell ref="F23:I23"/>
  </mergeCells>
  <pageMargins left="0.7" right="0.7" top="0.75" bottom="0.75" header="0.3" footer="0.3"/>
  <pageSetup paperSize="9" orientation="portrait" horizontalDpi="0" verticalDpi="0"/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54E272F-0D38-4F9C-BB1A-843ED7FCE932}">
  <dimension ref="B1:K33"/>
  <sheetViews>
    <sheetView zoomScale="120" zoomScaleNormal="120" workbookViewId="0">
      <selection activeCell="K15" sqref="K15"/>
    </sheetView>
  </sheetViews>
  <sheetFormatPr defaultColWidth="11.125" defaultRowHeight="15.75"/>
  <cols>
    <col min="1" max="1" width="4.875" customWidth="1"/>
    <col min="2" max="2" width="8.375" customWidth="1"/>
    <col min="3" max="3" width="9" style="2"/>
    <col min="10" max="10" width="10.875" bestFit="1" customWidth="1"/>
    <col min="11" max="11" width="11.25" bestFit="1" customWidth="1"/>
  </cols>
  <sheetData>
    <row r="1" spans="2:11">
      <c r="D1" s="57" t="s">
        <v>251</v>
      </c>
      <c r="E1" s="57"/>
      <c r="F1" s="57"/>
    </row>
    <row r="2" spans="2:11">
      <c r="B2" s="21" t="s">
        <v>252</v>
      </c>
      <c r="C2" s="40"/>
      <c r="D2" s="22"/>
      <c r="E2" s="22"/>
      <c r="F2" s="22"/>
      <c r="G2" s="22"/>
      <c r="H2" s="22"/>
    </row>
    <row r="3" spans="2:11">
      <c r="B3" s="23" t="s">
        <v>253</v>
      </c>
    </row>
    <row r="5" spans="2:11">
      <c r="B5" s="41" t="s">
        <v>254</v>
      </c>
      <c r="C5" s="42" t="s">
        <v>173</v>
      </c>
      <c r="D5" s="41" t="s">
        <v>66</v>
      </c>
      <c r="E5" s="41" t="s">
        <v>255</v>
      </c>
      <c r="F5" s="41" t="s">
        <v>192</v>
      </c>
      <c r="G5" s="41" t="s">
        <v>9</v>
      </c>
      <c r="H5" s="41" t="s">
        <v>256</v>
      </c>
      <c r="J5" s="17" t="s">
        <v>255</v>
      </c>
      <c r="K5" t="s">
        <v>257</v>
      </c>
    </row>
    <row r="6" spans="2:11">
      <c r="B6" s="2">
        <v>1001</v>
      </c>
      <c r="C6" s="43">
        <v>45662</v>
      </c>
      <c r="D6" t="s">
        <v>258</v>
      </c>
      <c r="E6" t="s">
        <v>259</v>
      </c>
      <c r="F6" s="44">
        <v>313.5</v>
      </c>
      <c r="G6" s="45">
        <v>345550</v>
      </c>
      <c r="H6" s="45">
        <v>90601.5</v>
      </c>
      <c r="J6" t="s">
        <v>259</v>
      </c>
      <c r="K6" s="46">
        <v>0.36749453437834495</v>
      </c>
    </row>
    <row r="7" spans="2:11">
      <c r="B7" s="2">
        <v>1002</v>
      </c>
      <c r="C7" s="43">
        <v>45669</v>
      </c>
      <c r="D7" t="s">
        <v>258</v>
      </c>
      <c r="E7" t="s">
        <v>260</v>
      </c>
      <c r="F7" s="44">
        <v>300.7</v>
      </c>
      <c r="G7" s="45">
        <v>330469.3</v>
      </c>
      <c r="H7" s="45">
        <v>86902.3</v>
      </c>
      <c r="J7" t="s">
        <v>261</v>
      </c>
      <c r="K7" s="46">
        <v>0.31141537905758837</v>
      </c>
    </row>
    <row r="8" spans="2:11">
      <c r="B8" s="2">
        <v>1003</v>
      </c>
      <c r="C8" s="43">
        <v>45676</v>
      </c>
      <c r="D8" t="s">
        <v>262</v>
      </c>
      <c r="E8" t="s">
        <v>261</v>
      </c>
      <c r="F8" s="44">
        <v>482.20000000000005</v>
      </c>
      <c r="G8" s="45">
        <v>626377.80000000005</v>
      </c>
      <c r="H8" s="45">
        <v>221329.80000000002</v>
      </c>
      <c r="J8" t="s">
        <v>263</v>
      </c>
      <c r="K8" s="46">
        <v>0.25201474388846429</v>
      </c>
    </row>
    <row r="9" spans="2:11">
      <c r="B9" s="2">
        <v>1004</v>
      </c>
      <c r="C9" s="43">
        <v>45683</v>
      </c>
      <c r="D9" t="s">
        <v>264</v>
      </c>
      <c r="E9" t="s">
        <v>263</v>
      </c>
      <c r="F9" s="44">
        <v>109</v>
      </c>
      <c r="G9" s="45">
        <v>65291</v>
      </c>
      <c r="H9" s="45">
        <v>32591</v>
      </c>
      <c r="J9" t="s">
        <v>260</v>
      </c>
      <c r="K9" s="46">
        <v>6.9075342675602447E-2</v>
      </c>
    </row>
    <row r="10" spans="2:11">
      <c r="B10" s="2">
        <v>1005</v>
      </c>
      <c r="C10" s="43">
        <v>45691</v>
      </c>
      <c r="D10" t="s">
        <v>265</v>
      </c>
      <c r="E10" t="s">
        <v>261</v>
      </c>
      <c r="F10" s="44">
        <v>450.90000000000003</v>
      </c>
      <c r="G10" s="45">
        <v>202454.1</v>
      </c>
      <c r="H10" s="45">
        <v>71693.100000000006</v>
      </c>
      <c r="J10" t="s">
        <v>76</v>
      </c>
      <c r="K10" s="46">
        <v>1</v>
      </c>
    </row>
    <row r="11" spans="2:11">
      <c r="B11" s="2">
        <v>1006</v>
      </c>
      <c r="C11" s="43">
        <v>45698</v>
      </c>
      <c r="D11" t="s">
        <v>266</v>
      </c>
      <c r="E11" t="s">
        <v>261</v>
      </c>
      <c r="F11" s="44">
        <v>270.90000000000003</v>
      </c>
      <c r="G11" s="45">
        <v>53909.100000000006</v>
      </c>
      <c r="H11" s="45">
        <v>10565.100000000002</v>
      </c>
    </row>
    <row r="12" spans="2:11">
      <c r="B12" s="2">
        <v>1007</v>
      </c>
      <c r="C12" s="43">
        <v>45705</v>
      </c>
      <c r="D12" t="s">
        <v>266</v>
      </c>
      <c r="E12" t="s">
        <v>259</v>
      </c>
      <c r="F12" s="44">
        <v>443.1</v>
      </c>
      <c r="G12" s="45">
        <v>88176.900000000009</v>
      </c>
      <c r="H12" s="45">
        <v>17280.900000000001</v>
      </c>
    </row>
    <row r="13" spans="2:11">
      <c r="B13" s="2">
        <v>1008</v>
      </c>
      <c r="C13" s="43">
        <v>45712</v>
      </c>
      <c r="D13" t="s">
        <v>266</v>
      </c>
      <c r="E13" t="s">
        <v>261</v>
      </c>
      <c r="F13" s="44">
        <v>459.3</v>
      </c>
      <c r="G13" s="45">
        <v>91400.7</v>
      </c>
      <c r="H13" s="45">
        <v>17912.7</v>
      </c>
    </row>
    <row r="14" spans="2:11">
      <c r="B14" s="2">
        <v>1009</v>
      </c>
      <c r="C14" s="43">
        <v>45721</v>
      </c>
      <c r="D14" t="s">
        <v>258</v>
      </c>
      <c r="E14" t="s">
        <v>261</v>
      </c>
      <c r="F14" s="44">
        <v>222.5</v>
      </c>
      <c r="G14" s="45">
        <v>244527.5</v>
      </c>
      <c r="H14" s="45">
        <v>64302.5</v>
      </c>
    </row>
    <row r="15" spans="2:11">
      <c r="B15" s="2">
        <v>1010</v>
      </c>
      <c r="C15" s="43">
        <v>45728</v>
      </c>
      <c r="D15" t="s">
        <v>262</v>
      </c>
      <c r="E15" t="s">
        <v>259</v>
      </c>
      <c r="F15" s="44">
        <v>479.40000000000003</v>
      </c>
      <c r="G15" s="45">
        <v>622740.60000000009</v>
      </c>
      <c r="H15" s="45">
        <v>220044.6</v>
      </c>
    </row>
    <row r="16" spans="2:11">
      <c r="B16" s="2">
        <v>1011</v>
      </c>
      <c r="C16" s="43">
        <v>45735</v>
      </c>
      <c r="D16" t="s">
        <v>262</v>
      </c>
      <c r="E16" t="s">
        <v>259</v>
      </c>
      <c r="F16" s="44">
        <v>301.2</v>
      </c>
      <c r="G16" s="45">
        <v>391258.8</v>
      </c>
      <c r="H16" s="45">
        <v>138250.79999999999</v>
      </c>
    </row>
    <row r="17" spans="2:8">
      <c r="B17" s="2">
        <v>1012</v>
      </c>
      <c r="C17" s="43">
        <v>45742</v>
      </c>
      <c r="D17" t="s">
        <v>266</v>
      </c>
      <c r="E17" t="s">
        <v>259</v>
      </c>
      <c r="F17" s="44">
        <v>315.10000000000002</v>
      </c>
      <c r="G17" s="45">
        <v>62704.9</v>
      </c>
      <c r="H17" s="45">
        <v>12288.900000000001</v>
      </c>
    </row>
    <row r="18" spans="2:8">
      <c r="B18" s="2">
        <v>1013</v>
      </c>
      <c r="C18" s="43">
        <v>45754</v>
      </c>
      <c r="D18" t="s">
        <v>258</v>
      </c>
      <c r="E18" t="s">
        <v>259</v>
      </c>
      <c r="F18" s="44">
        <v>142.4</v>
      </c>
      <c r="G18" s="45">
        <v>156497.60000000001</v>
      </c>
      <c r="H18" s="45">
        <v>41153.599999999999</v>
      </c>
    </row>
    <row r="19" spans="2:8">
      <c r="B19" s="2">
        <v>1014</v>
      </c>
      <c r="C19" s="43">
        <v>45761</v>
      </c>
      <c r="D19" t="s">
        <v>265</v>
      </c>
      <c r="E19" t="s">
        <v>259</v>
      </c>
      <c r="F19" s="44">
        <v>311</v>
      </c>
      <c r="G19" s="45">
        <v>139639</v>
      </c>
      <c r="H19" s="45">
        <v>49449</v>
      </c>
    </row>
    <row r="20" spans="2:8">
      <c r="B20" s="2">
        <v>1015</v>
      </c>
      <c r="C20" s="43">
        <v>45768</v>
      </c>
      <c r="D20" t="s">
        <v>264</v>
      </c>
      <c r="E20" t="s">
        <v>259</v>
      </c>
      <c r="F20" s="44">
        <v>378.20000000000005</v>
      </c>
      <c r="G20" s="45">
        <v>226541.80000000002</v>
      </c>
      <c r="H20" s="45">
        <v>113081.80000000002</v>
      </c>
    </row>
    <row r="21" spans="2:8">
      <c r="B21" s="2">
        <v>1016</v>
      </c>
      <c r="C21" s="43">
        <v>45775</v>
      </c>
      <c r="D21" t="s">
        <v>265</v>
      </c>
      <c r="E21" t="s">
        <v>263</v>
      </c>
      <c r="F21" s="44">
        <v>291.90000000000003</v>
      </c>
      <c r="G21" s="45">
        <v>131063.10000000002</v>
      </c>
      <c r="H21" s="45">
        <v>46412.100000000006</v>
      </c>
    </row>
    <row r="22" spans="2:8">
      <c r="B22" s="2">
        <v>1017</v>
      </c>
      <c r="C22" s="43">
        <v>45782</v>
      </c>
      <c r="D22" t="s">
        <v>258</v>
      </c>
      <c r="E22" t="s">
        <v>263</v>
      </c>
      <c r="F22" s="44">
        <v>479.3</v>
      </c>
      <c r="G22" s="45">
        <v>526750.70000000007</v>
      </c>
      <c r="H22" s="45">
        <v>138517.70000000001</v>
      </c>
    </row>
    <row r="23" spans="2:8">
      <c r="B23" s="2">
        <v>1018</v>
      </c>
      <c r="C23" s="43">
        <v>45789</v>
      </c>
      <c r="D23" t="s">
        <v>265</v>
      </c>
      <c r="E23" t="s">
        <v>260</v>
      </c>
      <c r="F23" s="44">
        <v>115.10000000000001</v>
      </c>
      <c r="G23" s="45">
        <v>51679.9</v>
      </c>
      <c r="H23" s="45">
        <v>18300.900000000001</v>
      </c>
    </row>
    <row r="24" spans="2:8">
      <c r="B24" s="2">
        <v>1019</v>
      </c>
      <c r="C24" s="43">
        <v>45796</v>
      </c>
      <c r="D24" t="s">
        <v>258</v>
      </c>
      <c r="E24" t="s">
        <v>263</v>
      </c>
      <c r="F24" s="44">
        <v>347.8</v>
      </c>
      <c r="G24" s="45">
        <v>382232.2</v>
      </c>
      <c r="H24" s="45">
        <v>100514.2</v>
      </c>
    </row>
    <row r="25" spans="2:8">
      <c r="B25" s="2">
        <v>1020</v>
      </c>
      <c r="C25" s="43">
        <v>45803</v>
      </c>
      <c r="D25" t="s">
        <v>262</v>
      </c>
      <c r="E25" t="s">
        <v>263</v>
      </c>
      <c r="F25" s="44">
        <v>222.4</v>
      </c>
      <c r="G25" s="45">
        <v>288897.60000000003</v>
      </c>
      <c r="H25" s="45">
        <v>102081.60000000001</v>
      </c>
    </row>
    <row r="26" spans="2:8">
      <c r="B26" s="2">
        <v>1021</v>
      </c>
      <c r="C26" s="43">
        <v>45814</v>
      </c>
      <c r="D26" t="s">
        <v>258</v>
      </c>
      <c r="E26" t="s">
        <v>261</v>
      </c>
      <c r="F26" s="44">
        <v>276.5</v>
      </c>
      <c r="G26" s="45">
        <v>303873.5</v>
      </c>
      <c r="H26" s="45">
        <v>79908.5</v>
      </c>
    </row>
    <row r="27" spans="2:8">
      <c r="B27" s="2">
        <v>1022</v>
      </c>
      <c r="C27" s="43">
        <v>45821</v>
      </c>
      <c r="D27" t="s">
        <v>258</v>
      </c>
      <c r="E27" t="s">
        <v>261</v>
      </c>
      <c r="F27" s="44">
        <v>151.20000000000002</v>
      </c>
      <c r="G27" s="45">
        <v>166168.80000000002</v>
      </c>
      <c r="H27" s="45">
        <v>43696.800000000003</v>
      </c>
    </row>
    <row r="28" spans="2:8">
      <c r="B28" s="2">
        <v>1023</v>
      </c>
      <c r="C28" s="43">
        <v>45828</v>
      </c>
      <c r="D28" t="s">
        <v>266</v>
      </c>
      <c r="E28" t="s">
        <v>261</v>
      </c>
      <c r="F28" s="44">
        <v>171.60000000000002</v>
      </c>
      <c r="G28" s="45">
        <v>34148.400000000001</v>
      </c>
      <c r="H28" s="45">
        <v>6692.4000000000005</v>
      </c>
    </row>
    <row r="29" spans="2:8">
      <c r="B29" s="2"/>
      <c r="C29" s="4"/>
    </row>
    <row r="30" spans="2:8">
      <c r="B30" s="2"/>
      <c r="C30" s="4"/>
    </row>
    <row r="31" spans="2:8">
      <c r="B31" s="2"/>
      <c r="C31" s="4"/>
    </row>
    <row r="32" spans="2:8">
      <c r="B32" s="2"/>
      <c r="C32" s="4"/>
    </row>
    <row r="33" spans="2:3">
      <c r="B33" s="2"/>
      <c r="C33" s="4"/>
    </row>
  </sheetData>
  <mergeCells count="1">
    <mergeCell ref="D1:F1"/>
  </mergeCells>
  <pageMargins left="0.7" right="0.7" top="0.75" bottom="0.75" header="0.3" footer="0.3"/>
  <pageSetup paperSize="9" orientation="portrait" horizontalDpi="0" verticalDpi="0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684B4AF-0907-4105-8878-062BEDB87B29}">
  <dimension ref="B1:K33"/>
  <sheetViews>
    <sheetView zoomScale="120" zoomScaleNormal="120" workbookViewId="0">
      <selection activeCell="J5" sqref="J5"/>
    </sheetView>
  </sheetViews>
  <sheetFormatPr defaultColWidth="11.125" defaultRowHeight="15.75"/>
  <cols>
    <col min="1" max="1" width="4.875" customWidth="1"/>
    <col min="2" max="2" width="8.375" customWidth="1"/>
    <col min="3" max="3" width="9" style="2"/>
    <col min="10" max="10" width="10.5" bestFit="1" customWidth="1"/>
    <col min="11" max="11" width="13.5" bestFit="1" customWidth="1"/>
  </cols>
  <sheetData>
    <row r="1" spans="2:11">
      <c r="D1" s="57" t="s">
        <v>61</v>
      </c>
      <c r="E1" s="57"/>
      <c r="F1" s="57"/>
    </row>
    <row r="2" spans="2:11">
      <c r="B2" s="21" t="s">
        <v>267</v>
      </c>
      <c r="C2" s="40"/>
      <c r="D2" s="22"/>
      <c r="E2" s="22"/>
      <c r="F2" s="22"/>
      <c r="G2" s="22"/>
      <c r="H2" s="22"/>
    </row>
    <row r="3" spans="2:11">
      <c r="B3" s="23" t="s">
        <v>268</v>
      </c>
    </row>
    <row r="5" spans="2:11">
      <c r="B5" s="41" t="s">
        <v>254</v>
      </c>
      <c r="C5" s="42" t="s">
        <v>173</v>
      </c>
      <c r="D5" s="41" t="s">
        <v>66</v>
      </c>
      <c r="E5" s="41" t="s">
        <v>255</v>
      </c>
      <c r="F5" s="41" t="s">
        <v>192</v>
      </c>
      <c r="G5" s="41" t="s">
        <v>9</v>
      </c>
      <c r="H5" s="41" t="s">
        <v>256</v>
      </c>
      <c r="J5" s="17" t="s">
        <v>66</v>
      </c>
      <c r="K5" t="s">
        <v>269</v>
      </c>
    </row>
    <row r="6" spans="2:11">
      <c r="B6" s="2">
        <v>1001</v>
      </c>
      <c r="C6" s="43">
        <v>45662</v>
      </c>
      <c r="D6" t="s">
        <v>258</v>
      </c>
      <c r="E6" t="s">
        <v>259</v>
      </c>
      <c r="F6" s="44">
        <v>313.5</v>
      </c>
      <c r="G6" s="45">
        <v>345550</v>
      </c>
      <c r="H6" s="45">
        <v>90601.5</v>
      </c>
      <c r="J6" t="s">
        <v>266</v>
      </c>
      <c r="K6" s="47">
        <v>24023.734636188434</v>
      </c>
    </row>
    <row r="7" spans="2:11">
      <c r="B7" s="2">
        <v>1002</v>
      </c>
      <c r="C7" s="43">
        <v>45669</v>
      </c>
      <c r="D7" t="s">
        <v>258</v>
      </c>
      <c r="E7" t="s">
        <v>260</v>
      </c>
      <c r="F7" s="44">
        <v>300.7</v>
      </c>
      <c r="G7" s="45">
        <v>330469.3</v>
      </c>
      <c r="H7" s="45">
        <v>86902.3</v>
      </c>
      <c r="J7" t="s">
        <v>264</v>
      </c>
      <c r="K7" s="47">
        <v>114021.53415175571</v>
      </c>
    </row>
    <row r="8" spans="2:11">
      <c r="B8" s="2">
        <v>1003</v>
      </c>
      <c r="C8" s="43">
        <v>45676</v>
      </c>
      <c r="D8" t="s">
        <v>262</v>
      </c>
      <c r="E8" t="s">
        <v>261</v>
      </c>
      <c r="F8" s="44">
        <v>482.20000000000005</v>
      </c>
      <c r="G8" s="45">
        <v>626377.80000000005</v>
      </c>
      <c r="H8" s="45">
        <v>221329.80000000002</v>
      </c>
      <c r="J8" t="s">
        <v>258</v>
      </c>
      <c r="K8" s="47">
        <v>120939.27139684625</v>
      </c>
    </row>
    <row r="9" spans="2:11">
      <c r="B9" s="2">
        <v>1004</v>
      </c>
      <c r="C9" s="43">
        <v>45683</v>
      </c>
      <c r="D9" t="s">
        <v>264</v>
      </c>
      <c r="E9" t="s">
        <v>263</v>
      </c>
      <c r="F9" s="44">
        <v>109</v>
      </c>
      <c r="G9" s="45">
        <v>65291</v>
      </c>
      <c r="H9" s="45">
        <v>32591</v>
      </c>
      <c r="J9" t="s">
        <v>265</v>
      </c>
      <c r="K9" s="47">
        <v>61838.036319694365</v>
      </c>
    </row>
    <row r="10" spans="2:11">
      <c r="B10" s="2">
        <v>1005</v>
      </c>
      <c r="C10" s="43">
        <v>45691</v>
      </c>
      <c r="D10" t="s">
        <v>265</v>
      </c>
      <c r="E10" t="s">
        <v>261</v>
      </c>
      <c r="F10" s="44">
        <v>450.90000000000003</v>
      </c>
      <c r="G10" s="45">
        <v>202454.1</v>
      </c>
      <c r="H10" s="45">
        <v>71693.100000000006</v>
      </c>
      <c r="J10" t="s">
        <v>262</v>
      </c>
      <c r="K10" s="47">
        <v>169484.47481076242</v>
      </c>
    </row>
    <row r="11" spans="2:11">
      <c r="B11" s="2">
        <v>1006</v>
      </c>
      <c r="C11" s="43">
        <v>45698</v>
      </c>
      <c r="D11" t="s">
        <v>266</v>
      </c>
      <c r="E11" t="s">
        <v>261</v>
      </c>
      <c r="F11" s="44">
        <v>270.90000000000003</v>
      </c>
      <c r="G11" s="45">
        <v>53909.100000000006</v>
      </c>
      <c r="H11" s="45">
        <v>10565.100000000002</v>
      </c>
      <c r="J11" t="s">
        <v>76</v>
      </c>
      <c r="K11" s="47">
        <v>178686.56765404515</v>
      </c>
    </row>
    <row r="12" spans="2:11">
      <c r="B12" s="2">
        <v>1007</v>
      </c>
      <c r="C12" s="43">
        <v>45705</v>
      </c>
      <c r="D12" t="s">
        <v>266</v>
      </c>
      <c r="E12" t="s">
        <v>259</v>
      </c>
      <c r="F12" s="44">
        <v>443.1</v>
      </c>
      <c r="G12" s="45">
        <v>88176.900000000009</v>
      </c>
      <c r="H12" s="45">
        <v>17280.900000000001</v>
      </c>
    </row>
    <row r="13" spans="2:11">
      <c r="B13" s="2">
        <v>1008</v>
      </c>
      <c r="C13" s="43">
        <v>45712</v>
      </c>
      <c r="D13" t="s">
        <v>266</v>
      </c>
      <c r="E13" t="s">
        <v>261</v>
      </c>
      <c r="F13" s="44">
        <v>459.3</v>
      </c>
      <c r="G13" s="45">
        <v>91400.7</v>
      </c>
      <c r="H13" s="45">
        <v>17912.7</v>
      </c>
    </row>
    <row r="14" spans="2:11">
      <c r="B14" s="2">
        <v>1009</v>
      </c>
      <c r="C14" s="43">
        <v>45721</v>
      </c>
      <c r="D14" t="s">
        <v>258</v>
      </c>
      <c r="E14" t="s">
        <v>261</v>
      </c>
      <c r="F14" s="44">
        <v>222.5</v>
      </c>
      <c r="G14" s="45">
        <v>244527.5</v>
      </c>
      <c r="H14" s="45">
        <v>64302.5</v>
      </c>
    </row>
    <row r="15" spans="2:11">
      <c r="B15" s="2">
        <v>1010</v>
      </c>
      <c r="C15" s="43">
        <v>45728</v>
      </c>
      <c r="D15" t="s">
        <v>262</v>
      </c>
      <c r="E15" t="s">
        <v>259</v>
      </c>
      <c r="F15" s="44">
        <v>479.40000000000003</v>
      </c>
      <c r="G15" s="45">
        <v>622740.60000000009</v>
      </c>
      <c r="H15" s="45">
        <v>220044.6</v>
      </c>
    </row>
    <row r="16" spans="2:11">
      <c r="B16" s="2">
        <v>1011</v>
      </c>
      <c r="C16" s="43">
        <v>45735</v>
      </c>
      <c r="D16" t="s">
        <v>262</v>
      </c>
      <c r="E16" t="s">
        <v>259</v>
      </c>
      <c r="F16" s="44">
        <v>301.2</v>
      </c>
      <c r="G16" s="45">
        <v>391258.8</v>
      </c>
      <c r="H16" s="45">
        <v>138250.79999999999</v>
      </c>
    </row>
    <row r="17" spans="2:8">
      <c r="B17" s="2">
        <v>1012</v>
      </c>
      <c r="C17" s="43">
        <v>45742</v>
      </c>
      <c r="D17" t="s">
        <v>266</v>
      </c>
      <c r="E17" t="s">
        <v>259</v>
      </c>
      <c r="F17" s="44">
        <v>315.10000000000002</v>
      </c>
      <c r="G17" s="45">
        <v>62704.9</v>
      </c>
      <c r="H17" s="45">
        <v>12288.900000000001</v>
      </c>
    </row>
    <row r="18" spans="2:8">
      <c r="B18" s="2">
        <v>1013</v>
      </c>
      <c r="C18" s="43">
        <v>45754</v>
      </c>
      <c r="D18" t="s">
        <v>258</v>
      </c>
      <c r="E18" t="s">
        <v>259</v>
      </c>
      <c r="F18" s="44">
        <v>142.4</v>
      </c>
      <c r="G18" s="45">
        <v>156497.60000000001</v>
      </c>
      <c r="H18" s="45">
        <v>41153.599999999999</v>
      </c>
    </row>
    <row r="19" spans="2:8">
      <c r="B19" s="2">
        <v>1014</v>
      </c>
      <c r="C19" s="43">
        <v>45761</v>
      </c>
      <c r="D19" t="s">
        <v>265</v>
      </c>
      <c r="E19" t="s">
        <v>259</v>
      </c>
      <c r="F19" s="44">
        <v>311</v>
      </c>
      <c r="G19" s="45">
        <v>139639</v>
      </c>
      <c r="H19" s="45">
        <v>49449</v>
      </c>
    </row>
    <row r="20" spans="2:8">
      <c r="B20" s="2">
        <v>1015</v>
      </c>
      <c r="C20" s="43">
        <v>45768</v>
      </c>
      <c r="D20" t="s">
        <v>264</v>
      </c>
      <c r="E20" t="s">
        <v>259</v>
      </c>
      <c r="F20" s="44">
        <v>378.20000000000005</v>
      </c>
      <c r="G20" s="45">
        <v>226541.80000000002</v>
      </c>
      <c r="H20" s="45">
        <v>113081.80000000002</v>
      </c>
    </row>
    <row r="21" spans="2:8">
      <c r="B21" s="2">
        <v>1016</v>
      </c>
      <c r="C21" s="43">
        <v>45775</v>
      </c>
      <c r="D21" t="s">
        <v>265</v>
      </c>
      <c r="E21" t="s">
        <v>263</v>
      </c>
      <c r="F21" s="44">
        <v>291.90000000000003</v>
      </c>
      <c r="G21" s="45">
        <v>131063.10000000002</v>
      </c>
      <c r="H21" s="45">
        <v>46412.100000000006</v>
      </c>
    </row>
    <row r="22" spans="2:8">
      <c r="B22" s="2">
        <v>1017</v>
      </c>
      <c r="C22" s="43">
        <v>45782</v>
      </c>
      <c r="D22" t="s">
        <v>258</v>
      </c>
      <c r="E22" t="s">
        <v>263</v>
      </c>
      <c r="F22" s="44">
        <v>479.3</v>
      </c>
      <c r="G22" s="45">
        <v>526750.70000000007</v>
      </c>
      <c r="H22" s="45">
        <v>138517.70000000001</v>
      </c>
    </row>
    <row r="23" spans="2:8">
      <c r="B23" s="2">
        <v>1018</v>
      </c>
      <c r="C23" s="43">
        <v>45789</v>
      </c>
      <c r="D23" t="s">
        <v>265</v>
      </c>
      <c r="E23" t="s">
        <v>260</v>
      </c>
      <c r="F23" s="44">
        <v>115.10000000000001</v>
      </c>
      <c r="G23" s="45">
        <v>51679.9</v>
      </c>
      <c r="H23" s="45">
        <v>18300.900000000001</v>
      </c>
    </row>
    <row r="24" spans="2:8">
      <c r="B24" s="2">
        <v>1019</v>
      </c>
      <c r="C24" s="43">
        <v>45796</v>
      </c>
      <c r="D24" t="s">
        <v>258</v>
      </c>
      <c r="E24" t="s">
        <v>263</v>
      </c>
      <c r="F24" s="44">
        <v>347.8</v>
      </c>
      <c r="G24" s="45">
        <v>382232.2</v>
      </c>
      <c r="H24" s="45">
        <v>100514.2</v>
      </c>
    </row>
    <row r="25" spans="2:8">
      <c r="B25" s="2">
        <v>1020</v>
      </c>
      <c r="C25" s="43">
        <v>45803</v>
      </c>
      <c r="D25" t="s">
        <v>262</v>
      </c>
      <c r="E25" t="s">
        <v>263</v>
      </c>
      <c r="F25" s="44">
        <v>222.4</v>
      </c>
      <c r="G25" s="45">
        <v>288897.60000000003</v>
      </c>
      <c r="H25" s="45">
        <v>102081.60000000001</v>
      </c>
    </row>
    <row r="26" spans="2:8">
      <c r="B26" s="2">
        <v>1021</v>
      </c>
      <c r="C26" s="43">
        <v>45814</v>
      </c>
      <c r="D26" t="s">
        <v>258</v>
      </c>
      <c r="E26" t="s">
        <v>261</v>
      </c>
      <c r="F26" s="44">
        <v>276.5</v>
      </c>
      <c r="G26" s="45">
        <v>303873.5</v>
      </c>
      <c r="H26" s="45">
        <v>79908.5</v>
      </c>
    </row>
    <row r="27" spans="2:8">
      <c r="B27" s="2">
        <v>1022</v>
      </c>
      <c r="C27" s="43">
        <v>45821</v>
      </c>
      <c r="D27" t="s">
        <v>258</v>
      </c>
      <c r="E27" t="s">
        <v>261</v>
      </c>
      <c r="F27" s="44">
        <v>151.20000000000002</v>
      </c>
      <c r="G27" s="45">
        <v>166168.80000000002</v>
      </c>
      <c r="H27" s="45">
        <v>43696.800000000003</v>
      </c>
    </row>
    <row r="28" spans="2:8">
      <c r="B28" s="2">
        <v>1023</v>
      </c>
      <c r="C28" s="43">
        <v>45828</v>
      </c>
      <c r="D28" t="s">
        <v>266</v>
      </c>
      <c r="E28" t="s">
        <v>261</v>
      </c>
      <c r="F28" s="44">
        <v>171.60000000000002</v>
      </c>
      <c r="G28" s="45">
        <v>34148.400000000001</v>
      </c>
      <c r="H28" s="45">
        <v>6692.4000000000005</v>
      </c>
    </row>
    <row r="29" spans="2:8">
      <c r="B29" s="2"/>
      <c r="C29" s="4"/>
    </row>
    <row r="30" spans="2:8">
      <c r="B30" s="2"/>
      <c r="C30" s="4"/>
    </row>
    <row r="31" spans="2:8">
      <c r="B31" s="2"/>
      <c r="C31" s="4"/>
    </row>
    <row r="32" spans="2:8">
      <c r="B32" s="2"/>
      <c r="C32" s="4"/>
    </row>
    <row r="33" spans="2:3">
      <c r="B33" s="2"/>
      <c r="C33" s="4"/>
    </row>
  </sheetData>
  <mergeCells count="1">
    <mergeCell ref="D1:F1"/>
  </mergeCells>
  <pageMargins left="0.7" right="0.7" top="0.75" bottom="0.75" header="0.3" footer="0.3"/>
  <pageSetup paperSize="9" orientation="portrait" horizontalDpi="0" verticalDpi="0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59B7ABE-1E2C-4230-B304-39A886E69843}">
  <dimension ref="B1:H34"/>
  <sheetViews>
    <sheetView tabSelected="1" zoomScale="120" zoomScaleNormal="120" workbookViewId="0">
      <selection activeCell="H19" sqref="H19"/>
    </sheetView>
  </sheetViews>
  <sheetFormatPr defaultColWidth="11.125" defaultRowHeight="15.75"/>
  <cols>
    <col min="1" max="1" width="4.875" customWidth="1"/>
    <col min="2" max="2" width="7" customWidth="1"/>
    <col min="3" max="5" width="9"/>
    <col min="6" max="6" width="14.375" bestFit="1" customWidth="1"/>
    <col min="7" max="7" width="6.875" customWidth="1"/>
    <col min="8" max="8" width="36" bestFit="1" customWidth="1"/>
  </cols>
  <sheetData>
    <row r="1" spans="2:8">
      <c r="E1" s="57" t="s">
        <v>270</v>
      </c>
      <c r="F1" s="57"/>
      <c r="G1" s="57"/>
    </row>
    <row r="2" spans="2:8">
      <c r="B2" s="48" t="s">
        <v>271</v>
      </c>
      <c r="C2" s="49"/>
      <c r="D2" s="49"/>
      <c r="E2" s="49"/>
      <c r="F2" s="49"/>
      <c r="G2" s="49"/>
      <c r="H2" s="49"/>
    </row>
    <row r="3" spans="2:8">
      <c r="B3" t="s">
        <v>272</v>
      </c>
    </row>
    <row r="5" spans="2:8">
      <c r="B5" s="50" t="s">
        <v>25</v>
      </c>
      <c r="C5" s="51">
        <v>2022</v>
      </c>
      <c r="D5" s="51">
        <v>2023</v>
      </c>
      <c r="E5" s="51">
        <v>2024</v>
      </c>
      <c r="F5" s="51">
        <v>2025</v>
      </c>
      <c r="H5" s="24" t="s">
        <v>273</v>
      </c>
    </row>
    <row r="6" spans="2:8">
      <c r="B6" s="1" t="s">
        <v>6</v>
      </c>
      <c r="C6" s="52">
        <v>8151.24812152702</v>
      </c>
      <c r="D6" s="52">
        <v>1216.6072035870845</v>
      </c>
      <c r="E6" s="52">
        <v>3232.9894725803101</v>
      </c>
      <c r="F6" s="52">
        <v>5380.8634254774952</v>
      </c>
      <c r="H6" s="1" t="s">
        <v>14</v>
      </c>
    </row>
    <row r="7" spans="2:8">
      <c r="B7" s="1" t="s">
        <v>8</v>
      </c>
      <c r="C7" s="52">
        <v>7755.4709019399825</v>
      </c>
      <c r="D7" s="52">
        <v>2384.7294473981196</v>
      </c>
      <c r="E7" s="52">
        <v>4805.3778620719804</v>
      </c>
      <c r="F7" s="52">
        <v>6333.7341275748604</v>
      </c>
      <c r="H7" s="53">
        <v>2023</v>
      </c>
    </row>
    <row r="8" spans="2:8">
      <c r="B8" s="1" t="s">
        <v>10</v>
      </c>
      <c r="C8" s="52">
        <v>2092.3283139276195</v>
      </c>
      <c r="D8" s="52">
        <v>7391.9017104370232</v>
      </c>
      <c r="E8" s="52">
        <v>1297.9565400229365</v>
      </c>
      <c r="F8" s="52">
        <v>724.3282139385077</v>
      </c>
    </row>
    <row r="9" spans="2:8">
      <c r="B9" s="1" t="s">
        <v>11</v>
      </c>
      <c r="C9" s="52">
        <v>3380.1466125541278</v>
      </c>
      <c r="D9" s="52">
        <v>2741.0723461438702</v>
      </c>
      <c r="E9" s="52">
        <v>9401.240773345764</v>
      </c>
      <c r="F9" s="52">
        <v>7294.3161773734246</v>
      </c>
      <c r="H9" s="41" t="s">
        <v>103</v>
      </c>
    </row>
    <row r="10" spans="2:8">
      <c r="B10" s="1" t="s">
        <v>12</v>
      </c>
      <c r="C10" s="52">
        <v>6964.0561728480398</v>
      </c>
      <c r="D10" s="52">
        <v>5353.707416439911</v>
      </c>
      <c r="E10" s="52">
        <v>9221.9693332982861</v>
      </c>
      <c r="F10" s="52">
        <v>289.48880144307634</v>
      </c>
      <c r="H10" s="54">
        <f>INDEX(C6:F16,MATCH(H6,B6:B16,0),MATCH(H7,C5:F5,0))</f>
        <v>3079.3355004363152</v>
      </c>
    </row>
    <row r="11" spans="2:8">
      <c r="B11" s="1" t="s">
        <v>14</v>
      </c>
      <c r="C11" s="52">
        <v>5012.6200229350716</v>
      </c>
      <c r="D11" s="52">
        <v>3079.3355004363152</v>
      </c>
      <c r="E11" s="52">
        <v>8185.3064399079985</v>
      </c>
      <c r="F11" s="52">
        <v>8223.9815426312798</v>
      </c>
    </row>
    <row r="12" spans="2:8">
      <c r="B12" s="1" t="s">
        <v>15</v>
      </c>
      <c r="C12" s="52">
        <v>6993.37653924595</v>
      </c>
      <c r="D12" s="52">
        <v>5686.8171505752525</v>
      </c>
      <c r="E12" s="52">
        <v>4128.5136777492053</v>
      </c>
      <c r="F12" s="52">
        <v>7291.779390855012</v>
      </c>
    </row>
    <row r="13" spans="2:8">
      <c r="B13" s="1" t="s">
        <v>17</v>
      </c>
      <c r="C13" s="52">
        <v>9916.1225399862142</v>
      </c>
      <c r="D13" s="52">
        <v>9333.0756394258642</v>
      </c>
      <c r="E13" s="52">
        <v>7049.8906377318808</v>
      </c>
      <c r="F13" s="52">
        <v>4977.9417754671913</v>
      </c>
    </row>
    <row r="14" spans="2:8">
      <c r="B14" s="1" t="s">
        <v>18</v>
      </c>
      <c r="C14" s="52">
        <v>9982.7607672833492</v>
      </c>
      <c r="D14" s="52">
        <v>8909.8190657786599</v>
      </c>
      <c r="E14" s="52">
        <v>7605.8241325880426</v>
      </c>
      <c r="F14" s="52">
        <v>6120.0647296657771</v>
      </c>
    </row>
    <row r="15" spans="2:8">
      <c r="B15" s="1" t="s">
        <v>19</v>
      </c>
      <c r="C15" s="52">
        <v>9110.2743930674405</v>
      </c>
      <c r="D15" s="52">
        <v>9868.2307560574609</v>
      </c>
      <c r="E15" s="52">
        <v>9236.3452516168691</v>
      </c>
      <c r="F15" s="52">
        <v>1328.2772405269661</v>
      </c>
    </row>
    <row r="16" spans="2:8">
      <c r="B16" s="1" t="s">
        <v>20</v>
      </c>
      <c r="C16" s="52">
        <v>3222.9027070160741</v>
      </c>
      <c r="D16" s="52">
        <v>9582.9475714898672</v>
      </c>
      <c r="E16" s="52">
        <v>7866.7235603216905</v>
      </c>
      <c r="F16" s="52">
        <v>9731.3946654753363</v>
      </c>
    </row>
    <row r="19" spans="3:8">
      <c r="E19" s="52"/>
      <c r="F19" s="52"/>
    </row>
    <row r="20" spans="3:8">
      <c r="E20" s="52"/>
      <c r="F20" s="52"/>
    </row>
    <row r="21" spans="3:8">
      <c r="E21" s="52"/>
      <c r="F21" s="52"/>
    </row>
    <row r="22" spans="3:8">
      <c r="E22" s="52"/>
      <c r="F22" s="52"/>
    </row>
    <row r="23" spans="3:8">
      <c r="E23" s="52"/>
      <c r="F23" s="52"/>
    </row>
    <row r="24" spans="3:8">
      <c r="E24" s="52"/>
      <c r="F24" s="52"/>
    </row>
    <row r="25" spans="3:8">
      <c r="E25" s="52"/>
      <c r="F25" s="52"/>
    </row>
    <row r="26" spans="3:8">
      <c r="E26" s="52"/>
      <c r="F26" s="52"/>
    </row>
    <row r="27" spans="3:8">
      <c r="E27" s="52"/>
      <c r="F27" s="52"/>
    </row>
    <row r="28" spans="3:8">
      <c r="E28" s="52"/>
      <c r="F28" s="52"/>
    </row>
    <row r="29" spans="3:8">
      <c r="E29" s="52"/>
      <c r="F29" s="52"/>
    </row>
    <row r="30" spans="3:8">
      <c r="C30" s="52"/>
      <c r="D30" s="52"/>
      <c r="E30" s="52"/>
      <c r="F30" s="52"/>
      <c r="G30" s="52"/>
      <c r="H30" s="52"/>
    </row>
    <row r="31" spans="3:8">
      <c r="C31" s="52"/>
      <c r="D31" s="52"/>
      <c r="E31" s="52"/>
      <c r="F31" s="52"/>
      <c r="G31" s="52"/>
      <c r="H31" s="52"/>
    </row>
    <row r="32" spans="3:8">
      <c r="C32" s="52"/>
      <c r="D32" s="52"/>
      <c r="E32" s="52"/>
      <c r="F32" s="52"/>
      <c r="G32" s="52"/>
      <c r="H32" s="52"/>
    </row>
    <row r="33" spans="3:8">
      <c r="C33" s="52"/>
      <c r="D33" s="52"/>
      <c r="E33" s="52"/>
      <c r="F33" s="52"/>
      <c r="G33" s="52"/>
      <c r="H33" s="52"/>
    </row>
    <row r="34" spans="3:8">
      <c r="C34" s="52"/>
      <c r="D34" s="52"/>
      <c r="E34" s="52"/>
      <c r="F34" s="52"/>
      <c r="G34" s="52"/>
      <c r="H34" s="52"/>
    </row>
  </sheetData>
  <mergeCells count="1">
    <mergeCell ref="E1:G1"/>
  </mergeCells>
  <pageMargins left="0.7" right="0.7" top="0.75" bottom="0.75" header="0.3" footer="0.3"/>
  <pageSetup paperSize="9" orientation="portrait" horizontalDpi="0" verticalDpi="0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A11B45D48646B844BCF67175E7EDD4C7" ma:contentTypeVersion="26" ma:contentTypeDescription="Create a new document." ma:contentTypeScope="" ma:versionID="5c944ca9f01d73e2ba6ff303c306403f">
  <xsd:schema xmlns:xsd="http://www.w3.org/2001/XMLSchema" xmlns:xs="http://www.w3.org/2001/XMLSchema" xmlns:p="http://schemas.microsoft.com/office/2006/metadata/properties" xmlns:ns2="6423d52d-cc33-4d55-a30a-79dd6b3aa391" xmlns:ns3="01961662-24f8-48fa-8e1b-d6aec199e9f1" targetNamespace="http://schemas.microsoft.com/office/2006/metadata/properties" ma:root="true" ma:fieldsID="5ea1e34812647265e85500045e7e1a35" ns2:_="" ns3:_="">
    <xsd:import namespace="6423d52d-cc33-4d55-a30a-79dd6b3aa391"/>
    <xsd:import namespace="01961662-24f8-48fa-8e1b-d6aec199e9f1"/>
    <xsd:element name="properties">
      <xsd:complexType>
        <xsd:sequence>
          <xsd:element name="documentManagement">
            <xsd:complexType>
              <xsd:all>
                <xsd:element ref="ns2:Details" minOccurs="0"/>
                <xsd:element ref="ns2:MediaServiceMetadata" minOccurs="0"/>
                <xsd:element ref="ns2:MediaServiceFastMetadata" minOccurs="0"/>
                <xsd:element ref="ns2:MediaServiceAutoKeyPoints" minOccurs="0"/>
                <xsd:element ref="ns2:MediaServiceKeyPoints" minOccurs="0"/>
                <xsd:element ref="ns2:MediaServiceDateTaken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OCR" minOccurs="0"/>
                <xsd:element ref="ns2:MediaServiceLocation" minOccurs="0"/>
                <xsd:element ref="ns3:SharedWithUsers" minOccurs="0"/>
                <xsd:element ref="ns3:SharedWithDetails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Progress" minOccurs="0"/>
                <xsd:element ref="ns2:Support" minOccurs="0"/>
                <xsd:element ref="ns2:MediaServiceObjectDetectorVersions" minOccurs="0"/>
                <xsd:element ref="ns2:Tobereviewedby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423d52d-cc33-4d55-a30a-79dd6b3aa391" elementFormDefault="qualified">
    <xsd:import namespace="http://schemas.microsoft.com/office/2006/documentManagement/types"/>
    <xsd:import namespace="http://schemas.microsoft.com/office/infopath/2007/PartnerControls"/>
    <xsd:element name="Details" ma:index="3" nillable="true" ma:displayName="Details" ma:format="Dropdown" ma:internalName="Details" ma:readOnly="false">
      <xsd:simpleType>
        <xsd:restriction base="dms:Note">
          <xsd:maxLength value="255"/>
        </xsd:restriction>
      </xsd:simpleType>
    </xsd:element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0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1" nillable="true" ma:displayName="KeyPoints" ma:hidden="true" ma:internalName="MediaServiceKeyPoints" ma:readOnly="true">
      <xsd:simpleType>
        <xsd:restriction base="dms:Note"/>
      </xsd:simpleType>
    </xsd:element>
    <xsd:element name="MediaServiceDateTaken" ma:index="12" nillable="true" ma:displayName="MediaServiceDateTaken" ma:hidden="true" ma:internalName="MediaServiceDateTaken" ma:readOnly="true">
      <xsd:simpleType>
        <xsd:restriction base="dms:Text"/>
      </xsd:simpleType>
    </xsd:element>
    <xsd:element name="MediaServiceAutoTags" ma:index="13" nillable="true" ma:displayName="Tags" ma:hidden="true" ma:internalName="MediaServiceAutoTags" ma:readOnly="true">
      <xsd:simpleType>
        <xsd:restriction base="dms:Text"/>
      </xsd:simpleType>
    </xsd:element>
    <xsd:element name="MediaServiceGenerationTime" ma:index="14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5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CR" ma:index="16" nillable="true" ma:displayName="Extracted Text" ma:hidden="true" ma:internalName="MediaServiceOCR" ma:readOnly="true">
      <xsd:simpleType>
        <xsd:restriction base="dms:Note"/>
      </xsd:simpleType>
    </xsd:element>
    <xsd:element name="MediaServiceLocation" ma:index="17" nillable="true" ma:displayName="Location" ma:hidden="true" ma:internalName="MediaServiceLocation" ma:readOnly="true">
      <xsd:simpleType>
        <xsd:restriction base="dms:Text"/>
      </xsd:simpleType>
    </xsd:element>
    <xsd:element name="MediaLengthInSeconds" ma:index="20" nillable="true" ma:displayName="Length (seconds)" ma:hidden="true" ma:internalName="MediaLengthInSeconds" ma:readOnly="true">
      <xsd:simpleType>
        <xsd:restriction base="dms:Unknown"/>
      </xsd:simpleType>
    </xsd:element>
    <xsd:element name="lcf76f155ced4ddcb4097134ff3c332f" ma:index="22" nillable="true" ma:taxonomy="true" ma:internalName="lcf76f155ced4ddcb4097134ff3c332f" ma:taxonomyFieldName="MediaServiceImageTags" ma:displayName="Image Tags" ma:readOnly="false" ma:fieldId="{5cf76f15-5ced-4ddc-b409-7134ff3c332f}" ma:taxonomyMulti="true" ma:sspId="02d0fc9f-eb5f-40ac-b597-c984a82382c9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Progress" ma:index="25" nillable="true" ma:displayName="Progress" ma:description="Mark your progress with the task." ma:format="Dropdown" ma:internalName="Progress">
      <xsd:simpleType>
        <xsd:restriction base="dms:Choice">
          <xsd:enumeration value="New"/>
          <xsd:enumeration value="Acknowledged"/>
          <xsd:enumeration value="In Progress"/>
          <xsd:enumeration value="Sent to Lead Support"/>
          <xsd:enumeration value="Completed"/>
        </xsd:restriction>
      </xsd:simpleType>
    </xsd:element>
    <xsd:element name="Support" ma:index="26" nillable="true" ma:displayName="Owner(s)" ma:description="Who supports this client?" ma:format="Dropdown" ma:list="UserInfo" ma:SharePointGroup="0" ma:internalName="Support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MediaServiceObjectDetectorVersions" ma:index="27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Tobereviewedby" ma:index="28" nillable="true" ma:displayName="To be reviewed by" ma:format="Dropdown" ma:list="UserInfo" ma:SharePointGroup="0" ma:internalName="Tobereviewedby">
      <xsd:complexType>
        <xsd:complexContent>
          <xsd:extension base="dms:User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MediaServiceSearchProperties" ma:index="29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1961662-24f8-48fa-8e1b-d6aec199e9f1" elementFormDefault="qualified">
    <xsd:import namespace="http://schemas.microsoft.com/office/2006/documentManagement/types"/>
    <xsd:import namespace="http://schemas.microsoft.com/office/infopath/2007/PartnerControls"/>
    <xsd:element name="SharedWithUsers" ma:index="18" nillable="true" ma:displayName="Shared With" ma:hidden="true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9" nillable="true" ma:displayName="Shared With Details" ma:hidden="true" ma:internalName="SharedWithDetails" ma:readOnly="true">
      <xsd:simpleType>
        <xsd:restriction base="dms:Note"/>
      </xsd:simpleType>
    </xsd:element>
    <xsd:element name="TaxCatchAll" ma:index="23" nillable="true" ma:displayName="Taxonomy Catch All Column" ma:hidden="true" ma:list="{c8808de1-08d2-41a3-bb8f-4625d6fd043e}" ma:internalName="TaxCatchAll" ma:readOnly="false" ma:showField="CatchAllData" ma:web="01961662-24f8-48fa-8e1b-d6aec199e9f1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displayName="Content Type"/>
        <xsd:element ref="dc:title" minOccurs="0" maxOccurs="1" ma:index="1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Details xmlns="6423d52d-cc33-4d55-a30a-79dd6b3aa391" xsi:nil="true"/>
    <Support xmlns="6423d52d-cc33-4d55-a30a-79dd6b3aa391">
      <UserInfo>
        <DisplayName/>
        <AccountId xsi:nil="true"/>
        <AccountType/>
      </UserInfo>
    </Support>
    <TaxCatchAll xmlns="01961662-24f8-48fa-8e1b-d6aec199e9f1" xsi:nil="true"/>
    <Progress xmlns="6423d52d-cc33-4d55-a30a-79dd6b3aa391" xsi:nil="true"/>
    <lcf76f155ced4ddcb4097134ff3c332f xmlns="6423d52d-cc33-4d55-a30a-79dd6b3aa391">
      <Terms xmlns="http://schemas.microsoft.com/office/infopath/2007/PartnerControls"/>
    </lcf76f155ced4ddcb4097134ff3c332f>
    <Tobereviewedby xmlns="6423d52d-cc33-4d55-a30a-79dd6b3aa391">
      <UserInfo>
        <DisplayName/>
        <AccountId xsi:nil="true"/>
        <AccountType/>
      </UserInfo>
    </Tobereviewedby>
  </documentManagement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54D482E6-02A8-417E-913A-BB3909E6C843}"/>
</file>

<file path=customXml/itemProps2.xml><?xml version="1.0" encoding="utf-8"?>
<ds:datastoreItem xmlns:ds="http://schemas.openxmlformats.org/officeDocument/2006/customXml" ds:itemID="{249864A3-90B0-4F44-AE9B-773314B8B84A}"/>
</file>

<file path=customXml/itemProps3.xml><?xml version="1.0" encoding="utf-8"?>
<ds:datastoreItem xmlns:ds="http://schemas.openxmlformats.org/officeDocument/2006/customXml" ds:itemID="{76486934-3F04-4D21-A407-74A70AFF3587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Microsoft Office User</dc:creator>
  <cp:keywords/>
  <dc:description/>
  <cp:lastModifiedBy/>
  <cp:revision/>
  <dcterms:created xsi:type="dcterms:W3CDTF">2023-04-17T08:35:45Z</dcterms:created>
  <dcterms:modified xsi:type="dcterms:W3CDTF">2026-03-12T09:35:04Z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0x010100A11B45D48646B844BCF67175E7EDD4C7</vt:lpwstr>
  </property>
</Properties>
</file>